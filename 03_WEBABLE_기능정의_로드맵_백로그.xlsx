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a0d6a673f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5cdc6dbd70f4987"/>
    <x:sheet xmlns:r="http://schemas.openxmlformats.org/officeDocument/2006/relationships" name="Feature Matrix" sheetId="2" r:id="Rcb6c4fdcfc9b4415"/>
    <x:sheet xmlns:r="http://schemas.openxmlformats.org/officeDocument/2006/relationships" name="Roadmap" sheetId="3" r:id="Rfda2f87ec01d44ff"/>
    <x:sheet xmlns:r="http://schemas.openxmlformats.org/officeDocument/2006/relationships" name="User Stories" sheetId="4" r:id="R3f1855d646164496"/>
    <x:sheet xmlns:r="http://schemas.openxmlformats.org/officeDocument/2006/relationships" name="AI Agents" sheetId="5" r:id="R750c593511354e4c"/>
    <x:sheet xmlns:r="http://schemas.openxmlformats.org/officeDocument/2006/relationships" name="Risks" sheetId="6" r:id="R30baa417778743a1"/>
    <x:sheet xmlns:r="http://schemas.openxmlformats.org/officeDocument/2006/relationships" name="KPI" sheetId="7" r:id="R1a09ff18c88a427d"/>
    <x:sheet xmlns:r="http://schemas.openxmlformats.org/officeDocument/2006/relationships" name="Integrations" sheetId="8" r:id="Ra784954f5d5346c0"/>
    <x:sheet xmlns:r="http://schemas.openxmlformats.org/officeDocument/2006/relationships" name="Lists" sheetId="9" r:id="R9d3bbe92c60f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1ed4702dd440d" /><Relationship Type="http://schemas.openxmlformats.org/officeDocument/2006/relationships/theme" Target="/xl/theme/theme1.xml" Id="Ra4e43f2f7489476e" /><Relationship Type="http://schemas.openxmlformats.org/officeDocument/2006/relationships/sharedStrings" Target="/xl/sharedStrings.xml" Id="Rd80c3df5ede1433b" /><Relationship Type="http://schemas.openxmlformats.org/officeDocument/2006/relationships/worksheet" Target="/xl/worksheets/sheet1.xml" Id="R35cdc6dbd70f4987" /><Relationship Type="http://schemas.openxmlformats.org/officeDocument/2006/relationships/worksheet" Target="/xl/worksheets/sheet2.xml" Id="Rcb6c4fdcfc9b4415" /><Relationship Type="http://schemas.openxmlformats.org/officeDocument/2006/relationships/worksheet" Target="/xl/worksheets/sheet3.xml" Id="Rfda2f87ec01d44ff" /><Relationship Type="http://schemas.openxmlformats.org/officeDocument/2006/relationships/worksheet" Target="/xl/worksheets/sheet4.xml" Id="R3f1855d646164496" /><Relationship Type="http://schemas.openxmlformats.org/officeDocument/2006/relationships/worksheet" Target="/xl/worksheets/sheet5.xml" Id="R750c593511354e4c" /><Relationship Type="http://schemas.openxmlformats.org/officeDocument/2006/relationships/worksheet" Target="/xl/worksheets/sheet6.xml" Id="R30baa417778743a1" /><Relationship Type="http://schemas.openxmlformats.org/officeDocument/2006/relationships/worksheet" Target="/xl/worksheets/sheet7.xml" Id="R1a09ff18c88a427d" /><Relationship Type="http://schemas.openxmlformats.org/officeDocument/2006/relationships/worksheet" Target="/xl/worksheets/sheet8.xml" Id="Ra784954f5d5346c0" /><Relationship Type="http://schemas.openxmlformats.org/officeDocument/2006/relationships/worksheet" Target="/xl/worksheets/sheet9.xml" Id="R9d3bbe92c60f4a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e7f0e493aa40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Feature Count by Phase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e7f0e493aa40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eatureMatrixTable" displayName="FeatureMatrixTable" ref="A1:J80" headerRowCount="1">
  <x:tableColumns count="10">
    <x:tableColumn id="1" name="ID"/>
    <x:tableColumn id="2" name="Module"/>
    <x:tableColumn id="3" name="Feature"/>
    <x:tableColumn id="4" name="Description"/>
    <x:tableColumn id="5" name="Priority"/>
    <x:tableColumn id="6" name="Phase"/>
    <x:tableColumn id="7" name="Owner"/>
    <x:tableColumn id="8" name="Status"/>
    <x:tableColumn id="9" name="Acceptance Criteria"/>
    <x:tableColumn id="10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RoadmapTable" displayName="RoadmapTable" ref="A1:F9" headerRowCount="1">
  <x:tableColumns count="6">
    <x:tableColumn id="1" name="Phase"/>
    <x:tableColumn id="2" name="Duration"/>
    <x:tableColumn id="3" name="Goal"/>
    <x:tableColumn id="4" name="Key Deliverables"/>
    <x:tableColumn id="5" name="Exit Criteria"/>
    <x:tableColumn id="6" name="Owner"/>
  </x:tableColumns>
  <x:tableStyleInfo name="TableStyleMedium2" showRowStripes="1"/>
</x:table>
</file>

<file path=xl/tables/table3.xml><?xml version="1.0" encoding="utf-8"?>
<x:table xmlns:x="http://schemas.openxmlformats.org/spreadsheetml/2006/main" id="3" name="UserStoriesTable" displayName="UserStoriesTable" ref="A1:F11" headerRowCount="1">
  <x:tableColumns count="6">
    <x:tableColumn id="1" name="ID"/>
    <x:tableColumn id="2" name="Persona"/>
    <x:tableColumn id="3" name="Story"/>
    <x:tableColumn id="4" name="Priority"/>
    <x:tableColumn id="5" name="Phase"/>
    <x:tableColumn id="6" name="Acceptance Criteria"/>
  </x:tableColumns>
  <x:tableStyleInfo name="TableStyleMedium2" showRowStripes="1"/>
</x:table>
</file>

<file path=xl/tables/table4.xml><?xml version="1.0" encoding="utf-8"?>
<x:table xmlns:x="http://schemas.openxmlformats.org/spreadsheetml/2006/main" id="4" name="AIAgentsTable" displayName="AIAgentsTable" ref="A1:F9" headerRowCount="1">
  <x:tableColumns count="6">
    <x:tableColumn id="1" name="Agent"/>
    <x:tableColumn id="2" name="Purpose"/>
    <x:tableColumn id="3" name="Tools"/>
    <x:tableColumn id="4" name="Data Scope"/>
    <x:tableColumn id="5" name="Guardrails"/>
    <x:tableColumn id="6" name="Phase"/>
  </x:tableColumns>
  <x:tableStyleInfo name="TableStyleMedium2" showRowStripes="1"/>
</x:table>
</file>

<file path=xl/tables/table5.xml><?xml version="1.0" encoding="utf-8"?>
<x:table xmlns:x="http://schemas.openxmlformats.org/spreadsheetml/2006/main" id="5" name="RisksTable" displayName="RisksTable" ref="A1:G8" headerRowCount="1">
  <x:tableColumns count="7">
    <x:tableColumn id="1" name="ID"/>
    <x:tableColumn id="2" name="Risk"/>
    <x:tableColumn id="3" name="Severity"/>
    <x:tableColumn id="4" name="Impact"/>
    <x:tableColumn id="5" name="Mitigation"/>
    <x:tableColumn id="6" name="Owner"/>
    <x:tableColumn id="7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KPITable" displayName="KPITable" ref="A1:E11" headerRowCount="1">
  <x:tableColumns count="5">
    <x:tableColumn id="1" name="Metric"/>
    <x:tableColumn id="2" name="Definition"/>
    <x:tableColumn id="3" name="Target"/>
    <x:tableColumn id="4" name="Owner"/>
    <x:tableColumn id="5" name="Cadence"/>
  </x:tableColumns>
  <x:tableStyleInfo name="TableStyleMedium2" showRowStripes="1"/>
</x:table>
</file>

<file path=xl/tables/table7.xml><?xml version="1.0" encoding="utf-8"?>
<x:table xmlns:x="http://schemas.openxmlformats.org/spreadsheetml/2006/main" id="7" name="IntegrationsTable" displayName="IntegrationsTable" ref="A1:E13" headerRowCount="1">
  <x:tableColumns count="5">
    <x:tableColumn id="1" name="Category"/>
    <x:tableColumn id="2" name="Integration"/>
    <x:tableColumn id="3" name="Phase"/>
    <x:tableColumn id="4" name="Direction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97f3ea1c5941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d2acd992b044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e9a561cf8a4c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fd32b82ca649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0d88c31b8f4b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991d571b6e4f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7850b664074a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1f424f832f493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56" hidden="0" customWidth="1"/>
    <x:col min="4" max="4" width="18" hidden="0" customWidth="1"/>
    <x:col min="5" max="5" width="12" hidden="0" customWidth="1"/>
    <x:col min="6" max="6" width="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8" t="str">
        <x:v>WEBABLE 개발 실행 대시보드</x:v>
      </x:c>
    </x:row>
    <x:row r="3">
      <x:c r="A3" s="6" t="str">
        <x:v>Metric</x:v>
      </x:c>
      <x:c r="B3" s="6" t="str">
        <x:v>Value</x:v>
      </x:c>
      <x:c r="D3" s="6" t="str">
        <x:v>Phase</x:v>
      </x:c>
      <x:c r="E3" s="6" t="str">
        <x:v>Count</x:v>
      </x:c>
    </x:row>
    <x:row r="4">
      <x:c r="A4" s="26" t="str">
        <x:v>Total Features</x:v>
      </x:c>
      <x:c r="B4" s="42" t="n">
        <x:f>COUNTA('Feature Matrix'!A2:A80)</x:f>
        <x:v>79</x:v>
      </x:c>
      <x:c r="D4" s="26" t="str">
        <x:v>MVP</x:v>
      </x:c>
      <x:c r="E4" s="38" t="n">
        <x:f>COUNTIF('Feature Matrix'!F2:F80,"MVP")</x:f>
        <x:v>22</x:v>
      </x:c>
    </x:row>
    <x:row r="5">
      <x:c r="A5" s="26" t="str">
        <x:v>P0 Features</x:v>
      </x:c>
      <x:c r="B5" s="42" t="n">
        <x:f>COUNTIF('Feature Matrix'!E2:E80,"P0")</x:f>
        <x:v>29</x:v>
      </x:c>
      <x:c r="D5" s="26" t="str">
        <x:v>V1</x:v>
      </x:c>
      <x:c r="E5" s="38" t="n">
        <x:f>COUNTIF('Feature Matrix'!F2:F80,"V1")</x:f>
        <x:v>31</x:v>
      </x:c>
    </x:row>
    <x:row r="6">
      <x:c r="A6" s="26" t="str">
        <x:v>MVP Features</x:v>
      </x:c>
      <x:c r="B6" s="42" t="n">
        <x:f>COUNTIF('Feature Matrix'!F2:F80,"MVP")</x:f>
        <x:v>22</x:v>
      </x:c>
      <x:c r="D6" s="26" t="str">
        <x:v>V1.5</x:v>
      </x:c>
      <x:c r="E6" s="38" t="n">
        <x:f>COUNTIF('Feature Matrix'!F2:F80,"V1.5")</x:f>
        <x:v>15</x:v>
      </x:c>
    </x:row>
    <x:row r="7">
      <x:c r="A7" s="26" t="str">
        <x:v>V1 Features</x:v>
      </x:c>
      <x:c r="B7" s="42" t="n">
        <x:f>COUNTIF('Feature Matrix'!F2:F80,"V1")</x:f>
        <x:v>31</x:v>
      </x:c>
      <x:c r="D7" s="26" t="str">
        <x:v>V2</x:v>
      </x:c>
      <x:c r="E7" s="38" t="n">
        <x:f>COUNTIF('Feature Matrix'!F2:F80,"V2")</x:f>
        <x:v>11</x:v>
      </x:c>
    </x:row>
    <x:row r="8">
      <x:c r="A8" s="26" t="str">
        <x:v>AI Features</x:v>
      </x:c>
      <x:c r="B8" s="42" t="n">
        <x:f>COUNTIF('Feature Matrix'!B2:B80,"AI")</x:f>
        <x:v>11</x:v>
      </x:c>
      <x:c r="D8" s="26" t="str">
        <x:v>V3</x:v>
      </x:c>
      <x:c r="E8" s="38" t="n">
        <x:f>COUNTIF('Feature Matrix'!F2:F80,"V3")</x:f>
        <x:v>0</x:v>
      </x:c>
    </x:row>
    <x:row r="9">
      <x:c r="A9" s="26" t="str">
        <x:v>Open Risks</x:v>
      </x:c>
      <x:c r="B9" s="42" t="n">
        <x:f>COUNTIF(Risks!G2:G8,"Open")</x:f>
        <x:v>7</x:v>
      </x:c>
    </x:row>
    <x:row r="10">
      <x:c r="A10" s="26" t="str">
        <x:v>Critical/High Risks</x:v>
      </x:c>
      <x:c r="B10" s="42" t="n">
        <x:f>COUNTIF(Risks!C2:C8,"Critical")+COUNTIF(Risks!C2:C8,"High")</x:f>
        <x:v>6</x:v>
      </x:c>
    </x:row>
    <x:row r="11">
      <x:c r="A11" s="26" t="str">
        <x:v>Roadmap Phases</x:v>
      </x:c>
      <x:c r="B11" s="42" t="n">
        <x:f>COUNTA(Roadmap!A2:A9)</x:f>
        <x:v>8</x:v>
      </x:c>
    </x:row>
    <x:row r="13">
      <x:c r="A13" s="6" t="str">
        <x:v>다음 실행 우선순위</x:v>
      </x:c>
    </x:row>
    <x:row r="14">
      <x:c r="A14" s="6" t="str">
        <x:v>No</x:v>
      </x:c>
      <x:c r="B14" s="6" t="str">
        <x:v>Task</x:v>
      </x:c>
      <x:c r="C14" s="6" t="str">
        <x:v>Detail</x:v>
      </x:c>
      <x:c r="D14" s="6" t="str">
        <x:v>Owner</x:v>
      </x:c>
      <x:c r="E14" s="6" t="str">
        <x:v>Due</x:v>
      </x:c>
      <x:c r="F14" s="13"/>
      <x:c r="G14" s="13"/>
      <x:c r="H14" s="13"/>
    </x:row>
    <x:row r="15">
      <x:c r="A15" s="13" t="str">
        <x:v>1</x:v>
      </x:c>
      <x:c r="B15" s="13" t="str">
        <x:v>MVP 범위 확정</x:v>
      </x:c>
      <x:c r="C15" s="13" t="str">
        <x:v>P0 기능만으로 AI 사이트 생성+게시 흐름을 닫는다.</x:v>
      </x:c>
      <x:c r="D15" s="13" t="str">
        <x:v>Product</x:v>
      </x:c>
      <x:c r="E15" s="13" t="str">
        <x:v>2 weeks</x:v>
      </x:c>
      <x:c r="F15" s="13"/>
      <x:c r="G15" s="13"/>
      <x:c r="H15" s="13"/>
    </x:row>
    <x:row r="16">
      <x:c r="A16" s="13" t="str">
        <x:v>2</x:v>
      </x:c>
      <x:c r="B16" s="13" t="str">
        <x:v>빌더 JSON Schema 확정</x:v>
      </x:c>
      <x:c r="C16" s="13" t="str">
        <x:v>Section/Block/Theme schema를 버전 관리 가능한 계약으로 만든다.</x:v>
      </x:c>
      <x:c r="D16" s="13" t="str">
        <x:v>Frontend/Backend</x:v>
      </x:c>
      <x:c r="E16" s="13" t="str">
        <x:v>4 weeks</x:v>
      </x:c>
      <x:c r="F16" s="13"/>
      <x:c r="G16" s="13"/>
      <x:c r="H16" s="13"/>
    </x:row>
    <x:row r="17">
      <x:c r="A17" s="13" t="str">
        <x:v>3</x:v>
      </x:c>
      <x:c r="B17" s="13" t="str">
        <x:v>AI Gateway 설계</x:v>
      </x:c>
      <x:c r="C17" s="13" t="str">
        <x:v>모델 라우팅, Prompt Registry, AI job log, cost tracking을 구현한다.</x:v>
      </x:c>
      <x:c r="D17" s="13" t="str">
        <x:v>AI</x:v>
      </x:c>
      <x:c r="E17" s="13" t="str">
        <x:v>6 weeks</x:v>
      </x:c>
      <x:c r="F17" s="13"/>
      <x:c r="G17" s="13"/>
      <x:c r="H17" s="13"/>
    </x:row>
    <x:row r="18">
      <x:c r="A18" s="13" t="str">
        <x:v>4</x:v>
      </x:c>
      <x:c r="B18" s="13" t="str">
        <x:v>테넌트 격리 테스트</x:v>
      </x:c>
      <x:c r="C18" s="13" t="str">
        <x:v>RLS와 권한 우회 테스트를 CI에 포함한다.</x:v>
      </x:c>
      <x:c r="D18" s="13" t="str">
        <x:v>Security</x:v>
      </x:c>
      <x:c r="E18" s="13" t="str">
        <x:v>6 weeks</x:v>
      </x:c>
      <x:c r="F18" s="13"/>
      <x:c r="G18" s="13"/>
      <x:c r="H18" s="13"/>
    </x:row>
    <x:row r="19">
      <x:c r="A19" s="13" t="str">
        <x:v>5</x:v>
      </x:c>
      <x:c r="B19" s="13" t="str">
        <x:v>PG/주문 상태 머신 설계</x:v>
      </x:c>
      <x:c r="C19" s="13" t="str">
        <x:v>부분 취소/환불/추가결제까지 상태 전이를 확정한다.</x:v>
      </x:c>
      <x:c r="D19" s="13" t="str">
        <x:v>Backend</x:v>
      </x:c>
      <x:c r="E19" s="13" t="str">
        <x:v>8 weeks</x:v>
      </x:c>
    </x:row>
  </x:sheetData>
  <x:mergeCells>
    <x:mergeCell ref="A1:H1"/>
    <x:mergeCell ref="A13:H13"/>
    <x:mergeCell ref="A13:E13"/>
  </x:mergeCells>
  <x:pageMargins left="0.7" right="0.7" top="0.75" bottom="0.75" header="0.3" footer="0.3"/>
  <x:drawing xmlns:r="http://schemas.openxmlformats.org/officeDocument/2006/relationships" r:id="Rbc97f3ea1c59413b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0" hidden="0" customWidth="1"/>
    <x:col min="4" max="4" width="3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38" hidden="0" customWidth="1"/>
    <x:col min="10" max="10" width="12" hidden="0" customWidth="1"/>
  </x:cols>
  <x:sheetData>
    <x:row r="1">
      <x:c r="A1" s="6" t="str">
        <x:v>ID</x:v>
      </x:c>
      <x:c r="B1" s="6" t="str">
        <x:v>Module</x:v>
      </x:c>
      <x:c r="C1" s="6" t="str">
        <x:v>Feature</x:v>
      </x:c>
      <x:c r="D1" s="6" t="str">
        <x:v>Description</x:v>
      </x:c>
      <x:c r="E1" s="6" t="str">
        <x:v>Priority</x:v>
      </x:c>
      <x:c r="F1" s="6" t="str">
        <x:v>Phase</x:v>
      </x:c>
      <x:c r="G1" s="6" t="str">
        <x:v>Owner</x:v>
      </x:c>
      <x:c r="H1" s="6" t="str">
        <x:v>Status</x:v>
      </x:c>
      <x:c r="I1" s="6" t="str">
        <x:v>Acceptance Criteria</x:v>
      </x:c>
      <x:c r="J1" s="6" t="str">
        <x:v>Source</x:v>
      </x:c>
    </x:row>
    <x:row r="2">
      <x:c r="A2" s="13" t="str">
        <x:v>SAAS-001</x:v>
      </x:c>
      <x:c r="B2" s="13" t="str">
        <x:v>SaaS/Account</x:v>
      </x:c>
      <x:c r="C2" s="13" t="str">
        <x:v>회원가입/로그인</x:v>
      </x:c>
      <x:c r="D2" s="13" t="str">
        <x:v>이메일, 소셜 로그인, 비밀번호 재설정, MFA 준비</x:v>
      </x:c>
      <x:c r="E2" s="13" t="str">
        <x:v>P0</x:v>
      </x:c>
      <x:c r="F2" s="13" t="str">
        <x:v>MVP</x:v>
      </x:c>
      <x:c r="G2" s="13" t="str">
        <x:v>Backend</x:v>
      </x:c>
      <x:c r="H2" s="13" t="str">
        <x:v>Not Started</x:v>
      </x:c>
      <x:c r="I2" s="13" t="str">
        <x:v>가입 후 조직 생성까지 완료된다.</x:v>
      </x:c>
      <x:c r="J2" s="13" t="str">
        <x:v>R1/R2</x:v>
      </x:c>
    </x:row>
    <x:row r="3">
      <x:c r="A3" s="13" t="str">
        <x:v>SAAS-002</x:v>
      </x:c>
      <x:c r="B3" s="13" t="str">
        <x:v>SaaS/Account</x:v>
      </x:c>
      <x:c r="C3" s="13" t="str">
        <x:v>조직 생성</x:v>
      </x:c>
      <x:c r="D3" s="13" t="str">
        <x:v>사용자 단위가 아닌 조직 단위로 사이트와 결제 관리</x:v>
      </x:c>
      <x:c r="E3" s="13" t="str">
        <x:v>P0</x:v>
      </x:c>
      <x:c r="F3" s="13" t="str">
        <x:v>MVP</x:v>
      </x:c>
      <x:c r="G3" s="13" t="str">
        <x:v>Backend</x:v>
      </x:c>
      <x:c r="H3" s="13" t="str">
        <x:v>Not Started</x:v>
      </x:c>
      <x:c r="I3" s="13" t="str">
        <x:v>조직 생성 시 owner membership이 자동 생성된다.</x:v>
      </x:c>
      <x:c r="J3" s="13" t="str"/>
    </x:row>
    <x:row r="4">
      <x:c r="A4" s="13" t="str">
        <x:v>SAAS-003</x:v>
      </x:c>
      <x:c r="B4" s="13" t="str">
        <x:v>SaaS/Account</x:v>
      </x:c>
      <x:c r="C4" s="13" t="str">
        <x:v>사이트 생성</x:v>
      </x:c>
      <x:c r="D4" s="13" t="str">
        <x:v>조직 내 여러 사이트 생성/복제/삭제</x:v>
      </x:c>
      <x:c r="E4" s="13" t="str">
        <x:v>P0</x:v>
      </x:c>
      <x:c r="F4" s="13" t="str">
        <x:v>MVP</x:v>
      </x:c>
      <x:c r="G4" s="13" t="str">
        <x:v>Backend</x:v>
      </x:c>
      <x:c r="H4" s="13" t="str">
        <x:v>Not Started</x:v>
      </x:c>
      <x:c r="I4" s="13" t="str">
        <x:v>사이트별 slug와 상태가 관리된다.</x:v>
      </x:c>
      <x:c r="J4" s="13" t="str"/>
    </x:row>
    <x:row r="5">
      <x:c r="A5" s="13" t="str">
        <x:v>SAAS-004</x:v>
      </x:c>
      <x:c r="B5" s="13" t="str">
        <x:v>SaaS/Account</x:v>
      </x:c>
      <x:c r="C5" s="13" t="str">
        <x:v>멤버 초대/권한</x:v>
      </x:c>
      <x:c r="D5" s="13" t="str">
        <x:v>Owner/Admin/Designer/Marketer/CS 등 역할</x:v>
      </x:c>
      <x:c r="E5" s="13" t="str">
        <x:v>P0</x:v>
      </x:c>
      <x:c r="F5" s="13" t="str">
        <x:v>MVP</x:v>
      </x:c>
      <x:c r="G5" s="13" t="str">
        <x:v>Backend</x:v>
      </x:c>
      <x:c r="H5" s="13" t="str">
        <x:v>Not Started</x:v>
      </x:c>
      <x:c r="I5" s="13" t="str">
        <x:v>권한 없는 API 요청은 403을 반환한다.</x:v>
      </x:c>
      <x:c r="J5" s="13" t="str">
        <x:v>R1/R7</x:v>
      </x:c>
    </x:row>
    <x:row r="6">
      <x:c r="A6" s="13" t="str">
        <x:v>SAAS-005</x:v>
      </x:c>
      <x:c r="B6" s="13" t="str">
        <x:v>SaaS/Account</x:v>
      </x:c>
      <x:c r="C6" s="13" t="str">
        <x:v>요금제/구독</x:v>
      </x:c>
      <x:c r="D6" s="13" t="str">
        <x:v>Free/Starter/Pro/Business/Global/Enterprise 플랜</x:v>
      </x:c>
      <x:c r="E6" s="13" t="str">
        <x:v>P1</x:v>
      </x:c>
      <x:c r="F6" s="13" t="str">
        <x:v>V1</x:v>
      </x:c>
      <x:c r="G6" s="13" t="str">
        <x:v>Backend</x:v>
      </x:c>
      <x:c r="H6" s="13" t="str">
        <x:v>Not Started</x:v>
      </x:c>
      <x:c r="I6" s="13" t="str">
        <x:v>플랜별 사이트 수, 상품 수, AI 크레딧 제한이 적용된다.</x:v>
      </x:c>
      <x:c r="J6" s="13" t="str">
        <x:v>R2</x:v>
      </x:c>
    </x:row>
    <x:row r="7">
      <x:c r="A7" s="13" t="str">
        <x:v>SAAS-006</x:v>
      </x:c>
      <x:c r="B7" s="13" t="str">
        <x:v>SaaS/Account</x:v>
      </x:c>
      <x:c r="C7" s="13" t="str">
        <x:v>AI 크레딧</x:v>
      </x:c>
      <x:c r="D7" s="13" t="str">
        <x:v>AI 사용량 과금/한도/알림</x:v>
      </x:c>
      <x:c r="E7" s="13" t="str">
        <x:v>P1</x:v>
      </x:c>
      <x:c r="F7" s="13" t="str">
        <x:v>V1</x:v>
      </x:c>
      <x:c r="G7" s="13" t="str">
        <x:v>AI</x:v>
      </x:c>
      <x:c r="H7" s="13" t="str">
        <x:v>Not Started</x:v>
      </x:c>
      <x:c r="I7" s="13" t="str">
        <x:v>AI job마다 비용과 크레딧 차감 로그가 기록된다.</x:v>
      </x:c>
      <x:c r="J7" s="13" t="str"/>
    </x:row>
    <x:row r="8">
      <x:c r="A8" s="13" t="str">
        <x:v>SAAS-007</x:v>
      </x:c>
      <x:c r="B8" s="13" t="str">
        <x:v>SaaS/Account</x:v>
      </x:c>
      <x:c r="C8" s="13" t="str">
        <x:v>에이전시 콘솔</x:v>
      </x:c>
      <x:c r="D8" s="13" t="str">
        <x:v>대행사 고객 사이트 관리</x:v>
      </x:c>
      <x:c r="E8" s="13" t="str">
        <x:v>P2</x:v>
      </x:c>
      <x:c r="F8" s="13" t="str">
        <x:v>V2</x:v>
      </x:c>
      <x:c r="G8" s="13" t="str">
        <x:v>Product</x:v>
      </x:c>
      <x:c r="H8" s="13" t="str">
        <x:v>Not Started</x:v>
      </x:c>
      <x:c r="I8" s="13" t="str">
        <x:v>고객 조직 전환/권한 위임이 가능하다.</x:v>
      </x:c>
      <x:c r="J8" s="13" t="str"/>
    </x:row>
    <x:row r="9">
      <x:c r="A9" s="13" t="str">
        <x:v>BUILDER-001</x:v>
      </x:c>
      <x:c r="B9" s="13" t="str">
        <x:v>Builder</x:v>
      </x:c>
      <x:c r="C9" s="13" t="str">
        <x:v>섹션 기반 페이지 편집</x:v>
      </x:c>
      <x:c r="D9" s="13" t="str">
        <x:v>Hero, Feature, CTA, FAQ, Gallery 등 섹션 추가/삭제</x:v>
      </x:c>
      <x:c r="E9" s="13" t="str">
        <x:v>P0</x:v>
      </x:c>
      <x:c r="F9" s="13" t="str">
        <x:v>MVP</x:v>
      </x:c>
      <x:c r="G9" s="13" t="str">
        <x:v>Frontend</x:v>
      </x:c>
      <x:c r="H9" s="13" t="str">
        <x:v>Not Started</x:v>
      </x:c>
      <x:c r="I9" s="13" t="str">
        <x:v>섹션 추가 후 저장/미리보기/게시가 된다.</x:v>
      </x:c>
      <x:c r="J9" s="13" t="str">
        <x:v>R1</x:v>
      </x:c>
    </x:row>
    <x:row r="10">
      <x:c r="A10" s="13" t="str">
        <x:v>BUILDER-002</x:v>
      </x:c>
      <x:c r="B10" s="13" t="str">
        <x:v>Builder</x:v>
      </x:c>
      <x:c r="C10" s="13" t="str">
        <x:v>드래그 앤 드롭 정렬</x:v>
      </x:c>
      <x:c r="D10" s="13" t="str">
        <x:v>섹션/블록 순서 변경</x:v>
      </x:c>
      <x:c r="E10" s="13" t="str">
        <x:v>P0</x:v>
      </x:c>
      <x:c r="F10" s="13" t="str">
        <x:v>MVP</x:v>
      </x:c>
      <x:c r="G10" s="13" t="str">
        <x:v>Frontend</x:v>
      </x:c>
      <x:c r="H10" s="13" t="str">
        <x:v>Not Started</x:v>
      </x:c>
      <x:c r="I10" s="13" t="str">
        <x:v>드래그 후 order가 저장된다.</x:v>
      </x:c>
      <x:c r="J10" s="13" t="str">
        <x:v>R1</x:v>
      </x:c>
    </x:row>
    <x:row r="11">
      <x:c r="A11" s="13" t="str">
        <x:v>BUILDER-003</x:v>
      </x:c>
      <x:c r="B11" s="13" t="str">
        <x:v>Builder</x:v>
      </x:c>
      <x:c r="C11" s="13" t="str">
        <x:v>속성 패널</x:v>
      </x:c>
      <x:c r="D11" s="13" t="str">
        <x:v>텍스트, 이미지, 링크, 여백, 정렬, 배경 등 속성 수정</x:v>
      </x:c>
      <x:c r="E11" s="13" t="str">
        <x:v>P0</x:v>
      </x:c>
      <x:c r="F11" s="13" t="str">
        <x:v>MVP</x:v>
      </x:c>
      <x:c r="G11" s="13" t="str">
        <x:v>Frontend</x:v>
      </x:c>
      <x:c r="H11" s="13" t="str">
        <x:v>Not Started</x:v>
      </x:c>
      <x:c r="I11" s="13" t="str">
        <x:v>수정 즉시 캔버스에 반영된다.</x:v>
      </x:c>
      <x:c r="J11" s="13" t="str"/>
    </x:row>
    <x:row r="12">
      <x:c r="A12" s="13" t="str">
        <x:v>BUILDER-004</x:v>
      </x:c>
      <x:c r="B12" s="13" t="str">
        <x:v>Builder</x:v>
      </x:c>
      <x:c r="C12" s="13" t="str">
        <x:v>Undo/Redo</x:v>
      </x:c>
      <x:c r="D12" s="13" t="str">
        <x:v>편집 히스토리와 되돌리기</x:v>
      </x:c>
      <x:c r="E12" s="13" t="str">
        <x:v>P0</x:v>
      </x:c>
      <x:c r="F12" s="13" t="str">
        <x:v>MVP</x:v>
      </x:c>
      <x:c r="G12" s="13" t="str">
        <x:v>Frontend</x:v>
      </x:c>
      <x:c r="H12" s="13" t="str">
        <x:v>Not Started</x:v>
      </x:c>
      <x:c r="I12" s="13" t="str">
        <x:v>최소 50단계 히스토리를 지원한다.</x:v>
      </x:c>
      <x:c r="J12" s="13" t="str"/>
    </x:row>
    <x:row r="13">
      <x:c r="A13" s="13" t="str">
        <x:v>BUILDER-005</x:v>
      </x:c>
      <x:c r="B13" s="13" t="str">
        <x:v>Builder</x:v>
      </x:c>
      <x:c r="C13" s="13" t="str">
        <x:v>반응형 미리보기</x:v>
      </x:c>
      <x:c r="D13" s="13" t="str">
        <x:v>PC/Tablet/Mobile viewport 전환</x:v>
      </x:c>
      <x:c r="E13" s="13" t="str">
        <x:v>P0</x:v>
      </x:c>
      <x:c r="F13" s="13" t="str">
        <x:v>MVP</x:v>
      </x:c>
      <x:c r="G13" s="13" t="str">
        <x:v>Frontend</x:v>
      </x:c>
      <x:c r="H13" s="13" t="str">
        <x:v>Not Started</x:v>
      </x:c>
      <x:c r="I13" s="13" t="str">
        <x:v>breakpoint별 레이아웃이 표시된다.</x:v>
      </x:c>
      <x:c r="J13" s="13" t="str">
        <x:v>R6</x:v>
      </x:c>
    </x:row>
    <x:row r="14">
      <x:c r="A14" s="13" t="str">
        <x:v>BUILDER-006</x:v>
      </x:c>
      <x:c r="B14" s="13" t="str">
        <x:v>Builder</x:v>
      </x:c>
      <x:c r="C14" s="13" t="str">
        <x:v>모바일 전용 조정</x:v>
      </x:c>
      <x:c r="D14" s="13" t="str">
        <x:v>모바일 섹션 숨김/순서/여백 override</x:v>
      </x:c>
      <x:c r="E14" s="13" t="str">
        <x:v>P1</x:v>
      </x:c>
      <x:c r="F14" s="13" t="str">
        <x:v>V1</x:v>
      </x:c>
      <x:c r="G14" s="13" t="str">
        <x:v>Frontend</x:v>
      </x:c>
      <x:c r="H14" s="13" t="str">
        <x:v>Not Started</x:v>
      </x:c>
      <x:c r="I14" s="13" t="str">
        <x:v>모바일 override가 desktop에 영향을 주지 않는다.</x:v>
      </x:c>
      <x:c r="J14" s="13" t="str">
        <x:v>R6</x:v>
      </x:c>
    </x:row>
    <x:row r="15">
      <x:c r="A15" s="13" t="str">
        <x:v>BUILDER-007</x:v>
      </x:c>
      <x:c r="B15" s="13" t="str">
        <x:v>Builder</x:v>
      </x:c>
      <x:c r="C15" s="13" t="str">
        <x:v>테마/디자인 토큰</x:v>
      </x:c>
      <x:c r="D15" s="13" t="str">
        <x:v>색상, 폰트, 라운드, 버튼, 간격 관리</x:v>
      </x:c>
      <x:c r="E15" s="13" t="str">
        <x:v>P0</x:v>
      </x:c>
      <x:c r="F15" s="13" t="str">
        <x:v>MVP</x:v>
      </x:c>
      <x:c r="G15" s="13" t="str">
        <x:v>Design</x:v>
      </x:c>
      <x:c r="H15" s="13" t="str">
        <x:v>Not Started</x:v>
      </x:c>
      <x:c r="I15" s="13" t="str">
        <x:v>테마 변경 시 전체 사이트에 반영된다.</x:v>
      </x:c>
      <x:c r="J15" s="13" t="str"/>
    </x:row>
    <x:row r="16">
      <x:c r="A16" s="13" t="str">
        <x:v>BUILDER-008</x:v>
      </x:c>
      <x:c r="B16" s="13" t="str">
        <x:v>Builder</x:v>
      </x:c>
      <x:c r="C16" s="13" t="str">
        <x:v>템플릿 갤러리</x:v>
      </x:c>
      <x:c r="D16" s="13" t="str">
        <x:v>업종별 템플릿 선택/복제</x:v>
      </x:c>
      <x:c r="E16" s="13" t="str">
        <x:v>P0</x:v>
      </x:c>
      <x:c r="F16" s="13" t="str">
        <x:v>MVP</x:v>
      </x:c>
      <x:c r="G16" s="13" t="str">
        <x:v>Design</x:v>
      </x:c>
      <x:c r="H16" s="13" t="str">
        <x:v>Not Started</x:v>
      </x:c>
      <x:c r="I16" s="13" t="str">
        <x:v>템플릿 선택으로 기본 페이지가 생성된다.</x:v>
      </x:c>
      <x:c r="J16" s="13" t="str">
        <x:v>R2</x:v>
      </x:c>
    </x:row>
    <x:row r="17">
      <x:c r="A17" s="13" t="str">
        <x:v>BUILDER-009</x:v>
      </x:c>
      <x:c r="B17" s="13" t="str">
        <x:v>Builder</x:v>
      </x:c>
      <x:c r="C17" s="13" t="str">
        <x:v>코드 위젯</x:v>
      </x:c>
      <x:c r="D17" s="13" t="str">
        <x:v>HTML/CSS/JS 제한 삽입</x:v>
      </x:c>
      <x:c r="E17" s="13" t="str">
        <x:v>P2</x:v>
      </x:c>
      <x:c r="F17" s="13" t="str">
        <x:v>V1</x:v>
      </x:c>
      <x:c r="G17" s="13" t="str">
        <x:v>Frontend</x:v>
      </x:c>
      <x:c r="H17" s="13" t="str">
        <x:v>Not Started</x:v>
      </x:c>
      <x:c r="I17" s="13" t="str">
        <x:v>위험 코드가 차단되고 CSP가 적용된다.</x:v>
      </x:c>
      <x:c r="J17" s="13" t="str">
        <x:v>R1</x:v>
      </x:c>
    </x:row>
    <x:row r="18">
      <x:c r="A18" s="13" t="str">
        <x:v>BUILDER-010</x:v>
      </x:c>
      <x:c r="B18" s="13" t="str">
        <x:v>Builder</x:v>
      </x:c>
      <x:c r="C18" s="13" t="str">
        <x:v>협업 편집</x:v>
      </x:c>
      <x:c r="D18" s="13" t="str">
        <x:v>동시 편집/락/댓글</x:v>
      </x:c>
      <x:c r="E18" s="13" t="str">
        <x:v>P3</x:v>
      </x:c>
      <x:c r="F18" s="13" t="str">
        <x:v>V2</x:v>
      </x:c>
      <x:c r="G18" s="13" t="str">
        <x:v>Frontend</x:v>
      </x:c>
      <x:c r="H18" s="13" t="str">
        <x:v>Deferred</x:v>
      </x:c>
      <x:c r="I18" s="13" t="str">
        <x:v>동시 편집 충돌을 방지한다.</x:v>
      </x:c>
      <x:c r="J18" s="13" t="str"/>
    </x:row>
    <x:row r="19">
      <x:c r="A19" s="13" t="str">
        <x:v>CMS-001</x:v>
      </x:c>
      <x:c r="B19" s="13" t="str">
        <x:v>CMS</x:v>
      </x:c>
      <x:c r="C19" s="13" t="str">
        <x:v>페이지/메뉴 관리</x:v>
      </x:c>
      <x:c r="D19" s="13" t="str">
        <x:v>페이지 생성, 메뉴 노출, slug, SEO 설정</x:v>
      </x:c>
      <x:c r="E19" s="13" t="str">
        <x:v>P0</x:v>
      </x:c>
      <x:c r="F19" s="13" t="str">
        <x:v>MVP</x:v>
      </x:c>
      <x:c r="G19" s="13" t="str">
        <x:v>Frontend</x:v>
      </x:c>
      <x:c r="H19" s="13" t="str">
        <x:v>Not Started</x:v>
      </x:c>
      <x:c r="I19" s="13" t="str">
        <x:v>메뉴 변경이 공개 사이트 route에 반영된다.</x:v>
      </x:c>
      <x:c r="J19" s="13" t="str"/>
    </x:row>
    <x:row r="20">
      <x:c r="A20" s="13" t="str">
        <x:v>CMS-002</x:v>
      </x:c>
      <x:c r="B20" s="13" t="str">
        <x:v>CMS</x:v>
      </x:c>
      <x:c r="C20" s="13" t="str">
        <x:v>게시판</x:v>
      </x:c>
      <x:c r="D20" s="13" t="str">
        <x:v>공지/일반 게시판, 권한, 첨부파일, 댓글</x:v>
      </x:c>
      <x:c r="E20" s="13" t="str">
        <x:v>P1</x:v>
      </x:c>
      <x:c r="F20" s="13" t="str">
        <x:v>V1</x:v>
      </x:c>
      <x:c r="G20" s="13" t="str">
        <x:v>Backend</x:v>
      </x:c>
      <x:c r="H20" s="13" t="str">
        <x:v>Not Started</x:v>
      </x:c>
      <x:c r="I20" s="13" t="str">
        <x:v>게시글 CRUD와 권한이 동작한다.</x:v>
      </x:c>
      <x:c r="J20" s="13" t="str">
        <x:v>R1</x:v>
      </x:c>
    </x:row>
    <x:row r="21">
      <x:c r="A21" s="13" t="str">
        <x:v>CMS-003</x:v>
      </x:c>
      <x:c r="B21" s="13" t="str">
        <x:v>CMS</x:v>
      </x:c>
      <x:c r="C21" s="13" t="str">
        <x:v>블로그</x:v>
      </x:c>
      <x:c r="D21" s="13" t="str">
        <x:v>카테고리, 태그, 작성자, 예약 발행</x:v>
      </x:c>
      <x:c r="E21" s="13" t="str">
        <x:v>P1</x:v>
      </x:c>
      <x:c r="F21" s="13" t="str">
        <x:v>V1</x:v>
      </x:c>
      <x:c r="G21" s="13" t="str">
        <x:v>Backend</x:v>
      </x:c>
      <x:c r="H21" s="13" t="str">
        <x:v>Not Started</x:v>
      </x:c>
      <x:c r="I21" s="13" t="str">
        <x:v>예약 시간에 발행된다.</x:v>
      </x:c>
      <x:c r="J21" s="13" t="str"/>
    </x:row>
    <x:row r="22">
      <x:c r="A22" s="13" t="str">
        <x:v>CMS-004</x:v>
      </x:c>
      <x:c r="B22" s="13" t="str">
        <x:v>CMS</x:v>
      </x:c>
      <x:c r="C22" s="13" t="str">
        <x:v>갤러리</x:v>
      </x:c>
      <x:c r="D22" s="13" t="str">
        <x:v>이미지/동영상 갤러리, 슬라이드</x:v>
      </x:c>
      <x:c r="E22" s="13" t="str">
        <x:v>P1</x:v>
      </x:c>
      <x:c r="F22" s="13" t="str">
        <x:v>V1</x:v>
      </x:c>
      <x:c r="G22" s="13" t="str">
        <x:v>Frontend</x:v>
      </x:c>
      <x:c r="H22" s="13" t="str">
        <x:v>Not Started</x:v>
      </x:c>
      <x:c r="I22" s="13" t="str">
        <x:v>이미지 최적화와 lazy load가 적용된다.</x:v>
      </x:c>
      <x:c r="J22" s="13" t="str">
        <x:v>R1</x:v>
      </x:c>
    </x:row>
    <x:row r="23">
      <x:c r="A23" s="13" t="str">
        <x:v>CMS-005</x:v>
      </x:c>
      <x:c r="B23" s="13" t="str">
        <x:v>CMS</x:v>
      </x:c>
      <x:c r="C23" s="13" t="str">
        <x:v>입력폼</x:v>
      </x:c>
      <x:c r="D23" s="13" t="str">
        <x:v>문의/신청 폼, 필드, 알림, CSV export</x:v>
      </x:c>
      <x:c r="E23" s="13" t="str">
        <x:v>P0</x:v>
      </x:c>
      <x:c r="F23" s="13" t="str">
        <x:v>MVP</x:v>
      </x:c>
      <x:c r="G23" s="13" t="str">
        <x:v>Backend</x:v>
      </x:c>
      <x:c r="H23" s="13" t="str">
        <x:v>Not Started</x:v>
      </x:c>
      <x:c r="I23" s="13" t="str">
        <x:v>폼 제출이 관리자와 이메일 알림으로 기록된다.</x:v>
      </x:c>
      <x:c r="J23" s="13" t="str">
        <x:v>R1</x:v>
      </x:c>
    </x:row>
    <x:row r="24">
      <x:c r="A24" s="13" t="str">
        <x:v>CMS-006</x:v>
      </x:c>
      <x:c r="B24" s="13" t="str">
        <x:v>CMS</x:v>
      </x:c>
      <x:c r="C24" s="13" t="str">
        <x:v>지도 위젯</x:v>
      </x:c>
      <x:c r="D24" s="13" t="str">
        <x:v>주소 검색, 지도 표시, 매장 정보</x:v>
      </x:c>
      <x:c r="E24" s="13" t="str">
        <x:v>P1</x:v>
      </x:c>
      <x:c r="F24" s="13" t="str">
        <x:v>V1</x:v>
      </x:c>
      <x:c r="G24" s="13" t="str">
        <x:v>Frontend</x:v>
      </x:c>
      <x:c r="H24" s="13" t="str">
        <x:v>Not Started</x:v>
      </x:c>
      <x:c r="I24" s="13" t="str">
        <x:v>위젯에서 주소/지도 좌표가 저장된다.</x:v>
      </x:c>
      <x:c r="J24" s="13" t="str">
        <x:v>R1</x:v>
      </x:c>
    </x:row>
    <x:row r="25">
      <x:c r="A25" s="13" t="str">
        <x:v>CMS-007</x:v>
      </x:c>
      <x:c r="B25" s="13" t="str">
        <x:v>CMS</x:v>
      </x:c>
      <x:c r="C25" s="13" t="str">
        <x:v>CMS 컬렉션</x:v>
      </x:c>
      <x:c r="D25" s="13" t="str">
        <x:v>채용/포트폴리오/강의 등 반복 콘텐츠 모델</x:v>
      </x:c>
      <x:c r="E25" s="13" t="str">
        <x:v>P2</x:v>
      </x:c>
      <x:c r="F25" s="13" t="str">
        <x:v>V2</x:v>
      </x:c>
      <x:c r="G25" s="13" t="str">
        <x:v>Backend</x:v>
      </x:c>
      <x:c r="H25" s="13" t="str">
        <x:v>Not Started</x:v>
      </x:c>
      <x:c r="I25" s="13" t="str">
        <x:v>사용자가 필드 스키마를 정의할 수 있다.</x:v>
      </x:c>
      <x:c r="J25" s="13" t="str">
        <x:v>R8</x:v>
      </x:c>
    </x:row>
    <x:row r="26">
      <x:c r="A26" s="13" t="str">
        <x:v>AI-001</x:v>
      </x:c>
      <x:c r="B26" s="13" t="str">
        <x:v>AI</x:v>
      </x:c>
      <x:c r="C26" s="13" t="str">
        <x:v>AI 온보딩</x:v>
      </x:c>
      <x:c r="D26" s="13" t="str">
        <x:v>업종, 브랜드, 타깃, 톤, 색상 입력</x:v>
      </x:c>
      <x:c r="E26" s="13" t="str">
        <x:v>P0</x:v>
      </x:c>
      <x:c r="F26" s="13" t="str">
        <x:v>MVP</x:v>
      </x:c>
      <x:c r="G26" s="13" t="str">
        <x:v>AI</x:v>
      </x:c>
      <x:c r="H26" s="13" t="str">
        <x:v>Not Started</x:v>
      </x:c>
      <x:c r="I26" s="13" t="str">
        <x:v>입력값으로 SiteSpec이 생성된다.</x:v>
      </x:c>
      <x:c r="J26" s="13" t="str">
        <x:v>R3</x:v>
      </x:c>
    </x:row>
    <x:row r="27">
      <x:c r="A27" s="13" t="str">
        <x:v>AI-002</x:v>
      </x:c>
      <x:c r="B27" s="13" t="str">
        <x:v>AI</x:v>
      </x:c>
      <x:c r="C27" s="13" t="str">
        <x:v>AI 사이트 생성</x:v>
      </x:c>
      <x:c r="D27" s="13" t="str">
        <x:v>사이트명, URL 후보, 메뉴, 페이지, 섹션, 카피 생성</x:v>
      </x:c>
      <x:c r="E27" s="13" t="str">
        <x:v>P0</x:v>
      </x:c>
      <x:c r="F27" s="13" t="str">
        <x:v>MVP</x:v>
      </x:c>
      <x:c r="G27" s="13" t="str">
        <x:v>AI</x:v>
      </x:c>
      <x:c r="H27" s="13" t="str">
        <x:v>Not Started</x:v>
      </x:c>
      <x:c r="I27" s="13" t="str">
        <x:v>생성 결과가 빌더에서 편집 가능한 JSON으로 저장된다.</x:v>
      </x:c>
      <x:c r="J27" s="13" t="str">
        <x:v>R3</x:v>
      </x:c>
    </x:row>
    <x:row r="28">
      <x:c r="A28" s="13" t="str">
        <x:v>AI-003</x:v>
      </x:c>
      <x:c r="B28" s="13" t="str">
        <x:v>AI</x:v>
      </x:c>
      <x:c r="C28" s="13" t="str">
        <x:v>AI 섹션 추천</x:v>
      </x:c>
      <x:c r="D28" s="13" t="str">
        <x:v>현재 페이지 맥락에 맞는 섹션 제안</x:v>
      </x:c>
      <x:c r="E28" s="13" t="str">
        <x:v>P0</x:v>
      </x:c>
      <x:c r="F28" s="13" t="str">
        <x:v>MVP</x:v>
      </x:c>
      <x:c r="G28" s="13" t="str">
        <x:v>AI</x:v>
      </x:c>
      <x:c r="H28" s="13" t="str">
        <x:v>Not Started</x:v>
      </x:c>
      <x:c r="I28" s="13" t="str">
        <x:v>섹션 추가 전 미리보기를 제공한다.</x:v>
      </x:c>
      <x:c r="J28" s="13" t="str">
        <x:v>R8/R9</x:v>
      </x:c>
    </x:row>
    <x:row r="29">
      <x:c r="A29" s="13" t="str">
        <x:v>AI-004</x:v>
      </x:c>
      <x:c r="B29" s="13" t="str">
        <x:v>AI</x:v>
      </x:c>
      <x:c r="C29" s="13" t="str">
        <x:v>AI 자연어 편집</x:v>
      </x:c>
      <x:c r="D29" s="13" t="str">
        <x:v>예: 더 고급스럽게, CTA 추가, 색상 변경</x:v>
      </x:c>
      <x:c r="E29" s="13" t="str">
        <x:v>P1</x:v>
      </x:c>
      <x:c r="F29" s="13" t="str">
        <x:v>V1</x:v>
      </x:c>
      <x:c r="G29" s="13" t="str">
        <x:v>AI</x:v>
      </x:c>
      <x:c r="H29" s="13" t="str">
        <x:v>Not Started</x:v>
      </x:c>
      <x:c r="I29" s="13" t="str">
        <x:v>변경 diff와 승인 버튼을 제공한다.</x:v>
      </x:c>
      <x:c r="J29" s="13" t="str">
        <x:v>R8/R9</x:v>
      </x:c>
    </x:row>
    <x:row r="30">
      <x:c r="A30" s="13" t="str">
        <x:v>AI-005</x:v>
      </x:c>
      <x:c r="B30" s="13" t="str">
        <x:v>AI</x:v>
      </x:c>
      <x:c r="C30" s="13" t="str">
        <x:v>AI 콘텐츠 생성</x:v>
      </x:c>
      <x:c r="D30" s="13" t="str">
        <x:v>카피, 블로그, FAQ, 메타 설명 생성</x:v>
      </x:c>
      <x:c r="E30" s="13" t="str">
        <x:v>P0</x:v>
      </x:c>
      <x:c r="F30" s="13" t="str">
        <x:v>MVP</x:v>
      </x:c>
      <x:c r="G30" s="13" t="str">
        <x:v>AI</x:v>
      </x:c>
      <x:c r="H30" s="13" t="str">
        <x:v>Not Started</x:v>
      </x:c>
      <x:c r="I30" s="13" t="str">
        <x:v>브랜드 톤과 금칙어를 적용한다.</x:v>
      </x:c>
      <x:c r="J30" s="13" t="str">
        <x:v>R9</x:v>
      </x:c>
    </x:row>
    <x:row r="31">
      <x:c r="A31" s="13" t="str">
        <x:v>AI-006</x:v>
      </x:c>
      <x:c r="B31" s="13" t="str">
        <x:v>AI</x:v>
      </x:c>
      <x:c r="C31" s="13" t="str">
        <x:v>AI 상품 상세 생성</x:v>
      </x:c>
      <x:c r="D31" s="13" t="str">
        <x:v>상품명/속성 기반 상세페이지/옵션/FAQ 생성</x:v>
      </x:c>
      <x:c r="E31" s="13" t="str">
        <x:v>P1</x:v>
      </x:c>
      <x:c r="F31" s="13" t="str">
        <x:v>V1</x:v>
      </x:c>
      <x:c r="G31" s="13" t="str">
        <x:v>AI</x:v>
      </x:c>
      <x:c r="H31" s="13" t="str">
        <x:v>Not Started</x:v>
      </x:c>
      <x:c r="I31" s="13" t="str">
        <x:v>생성 콘텐츠에 검수 상태가 붙는다.</x:v>
      </x:c>
      <x:c r="J31" s="13" t="str"/>
    </x:row>
    <x:row r="32">
      <x:c r="A32" s="13" t="str">
        <x:v>AI-007</x:v>
      </x:c>
      <x:c r="B32" s="13" t="str">
        <x:v>AI</x:v>
      </x:c>
      <x:c r="C32" s="13" t="str">
        <x:v>AI 이미지 alt/SEO</x:v>
      </x:c>
      <x:c r="D32" s="13" t="str">
        <x:v>접근성 alt, OG, 구조화 데이터 추천</x:v>
      </x:c>
      <x:c r="E32" s="13" t="str">
        <x:v>P1</x:v>
      </x:c>
      <x:c r="F32" s="13" t="str">
        <x:v>V1</x:v>
      </x:c>
      <x:c r="G32" s="13" t="str">
        <x:v>AI</x:v>
      </x:c>
      <x:c r="H32" s="13" t="str">
        <x:v>Not Started</x:v>
      </x:c>
      <x:c r="I32" s="13" t="str">
        <x:v>페이지별 SEO 체크리스트를 제공한다.</x:v>
      </x:c>
      <x:c r="J32" s="13" t="str">
        <x:v>R9</x:v>
      </x:c>
    </x:row>
    <x:row r="33">
      <x:c r="A33" s="13" t="str">
        <x:v>AI-008</x:v>
      </x:c>
      <x:c r="B33" s="13" t="str">
        <x:v>AI</x:v>
      </x:c>
      <x:c r="C33" s="13" t="str">
        <x:v>AI 주문 요약</x:v>
      </x:c>
      <x:c r="D33" s="13" t="str">
        <x:v>주문 이슈, 배송 지연, 고객 문의 요약</x:v>
      </x:c>
      <x:c r="E33" s="13" t="str">
        <x:v>P2</x:v>
      </x:c>
      <x:c r="F33" s="13" t="str">
        <x:v>V1.5</x:v>
      </x:c>
      <x:c r="G33" s="13" t="str">
        <x:v>AI</x:v>
      </x:c>
      <x:c r="H33" s="13" t="str">
        <x:v>Not Started</x:v>
      </x:c>
      <x:c r="I33" s="13" t="str">
        <x:v>CS 권한 내에서만 조회된다.</x:v>
      </x:c>
      <x:c r="J33" s="13" t="str">
        <x:v>R7</x:v>
      </x:c>
    </x:row>
    <x:row r="34">
      <x:c r="A34" s="13" t="str">
        <x:v>AI-009</x:v>
      </x:c>
      <x:c r="B34" s="13" t="str">
        <x:v>AI</x:v>
      </x:c>
      <x:c r="C34" s="13" t="str">
        <x:v>AI CRM 캠페인</x:v>
      </x:c>
      <x:c r="D34" s="13" t="str">
        <x:v>세그먼트/문구/발송타이밍 제안</x:v>
      </x:c>
      <x:c r="E34" s="13" t="str">
        <x:v>P2</x:v>
      </x:c>
      <x:c r="F34" s="13" t="str">
        <x:v>V1.5</x:v>
      </x:c>
      <x:c r="G34" s="13" t="str">
        <x:v>AI</x:v>
      </x:c>
      <x:c r="H34" s="13" t="str">
        <x:v>Not Started</x:v>
      </x:c>
      <x:c r="I34" s="13" t="str">
        <x:v>수신 동의 상태를 준수한다.</x:v>
      </x:c>
      <x:c r="J34" s="13" t="str">
        <x:v>R7</x:v>
      </x:c>
    </x:row>
    <x:row r="35">
      <x:c r="A35" s="13" t="str">
        <x:v>AI-010</x:v>
      </x:c>
      <x:c r="B35" s="13" t="str">
        <x:v>AI</x:v>
      </x:c>
      <x:c r="C35" s="13" t="str">
        <x:v>AI 분석 인사이트</x:v>
      </x:c>
      <x:c r="D35" s="13" t="str">
        <x:v>전환/매출/이탈 원인 분석과 개선안</x:v>
      </x:c>
      <x:c r="E35" s="13" t="str">
        <x:v>P2</x:v>
      </x:c>
      <x:c r="F35" s="13" t="str">
        <x:v>V1.5</x:v>
      </x:c>
      <x:c r="G35" s="13" t="str">
        <x:v>AI</x:v>
      </x:c>
      <x:c r="H35" s="13" t="str">
        <x:v>Not Started</x:v>
      </x:c>
      <x:c r="I35" s="13" t="str">
        <x:v>주간 리포트가 자동 생성된다.</x:v>
      </x:c>
      <x:c r="J35" s="13" t="str">
        <x:v>R8/R9</x:v>
      </x:c>
    </x:row>
    <x:row r="36">
      <x:c r="A36" s="13" t="str">
        <x:v>AI-011</x:v>
      </x:c>
      <x:c r="B36" s="13" t="str">
        <x:v>AI</x:v>
      </x:c>
      <x:c r="C36" s="13" t="str">
        <x:v>AI 코드 생성 샌드박스</x:v>
      </x:c>
      <x:c r="D36" s="13" t="str">
        <x:v>코드 위젯용 제한 코드 생성/검증</x:v>
      </x:c>
      <x:c r="E36" s="13" t="str">
        <x:v>P3</x:v>
      </x:c>
      <x:c r="F36" s="13" t="str">
        <x:v>V2</x:v>
      </x:c>
      <x:c r="G36" s="13" t="str">
        <x:v>AI</x:v>
      </x:c>
      <x:c r="H36" s="13" t="str">
        <x:v>Deferred</x:v>
      </x:c>
      <x:c r="I36" s="13" t="str">
        <x:v>허용 API와 CSP를 통과해야 적용된다.</x:v>
      </x:c>
      <x:c r="J36" s="13" t="str">
        <x:v>R8</x:v>
      </x:c>
    </x:row>
    <x:row r="37">
      <x:c r="A37" s="13" t="str">
        <x:v>COM-001</x:v>
      </x:c>
      <x:c r="B37" s="13" t="str">
        <x:v>Commerce</x:v>
      </x:c>
      <x:c r="C37" s="13" t="str">
        <x:v>상품 관리</x:v>
      </x:c>
      <x:c r="D37" s="13" t="str">
        <x:v>상품명, 이미지, 설명, 판매상태, 카테고리</x:v>
      </x:c>
      <x:c r="E37" s="13" t="str">
        <x:v>P0</x:v>
      </x:c>
      <x:c r="F37" s="13" t="str">
        <x:v>V1</x:v>
      </x:c>
      <x:c r="G37" s="13" t="str">
        <x:v>Backend</x:v>
      </x:c>
      <x:c r="H37" s="13" t="str">
        <x:v>Not Started</x:v>
      </x:c>
      <x:c r="I37" s="13" t="str">
        <x:v>상품 CRUD와 공개 노출 상태가 일치한다.</x:v>
      </x:c>
      <x:c r="J37" s="13" t="str">
        <x:v>R2</x:v>
      </x:c>
    </x:row>
    <x:row r="38">
      <x:c r="A38" s="13" t="str">
        <x:v>COM-002</x:v>
      </x:c>
      <x:c r="B38" s="13" t="str">
        <x:v>Commerce</x:v>
      </x:c>
      <x:c r="C38" s="13" t="str">
        <x:v>옵션/변형</x:v>
      </x:c>
      <x:c r="D38" s="13" t="str">
        <x:v>색상/사이즈/추가옵션, SKU, 가격 차등</x:v>
      </x:c>
      <x:c r="E38" s="13" t="str">
        <x:v>P0</x:v>
      </x:c>
      <x:c r="F38" s="13" t="str">
        <x:v>V1</x:v>
      </x:c>
      <x:c r="G38" s="13" t="str">
        <x:v>Backend</x:v>
      </x:c>
      <x:c r="H38" s="13" t="str">
        <x:v>Not Started</x:v>
      </x:c>
      <x:c r="I38" s="13" t="str">
        <x:v>옵션별 재고/가격이 주문에 반영된다.</x:v>
      </x:c>
      <x:c r="J38" s="13" t="str"/>
    </x:row>
    <x:row r="39">
      <x:c r="A39" s="13" t="str">
        <x:v>COM-003</x:v>
      </x:c>
      <x:c r="B39" s="13" t="str">
        <x:v>Commerce</x:v>
      </x:c>
      <x:c r="C39" s="13" t="str">
        <x:v>재고 관리</x:v>
      </x:c>
      <x:c r="D39" s="13" t="str">
        <x:v>입출고, 안전재고, 품절 처리</x:v>
      </x:c>
      <x:c r="E39" s="13" t="str">
        <x:v>P1</x:v>
      </x:c>
      <x:c r="F39" s="13" t="str">
        <x:v>V1</x:v>
      </x:c>
      <x:c r="G39" s="13" t="str">
        <x:v>Backend</x:v>
      </x:c>
      <x:c r="H39" s="13" t="str">
        <x:v>Not Started</x:v>
      </x:c>
      <x:c r="I39" s="13" t="str">
        <x:v>결제 완료 시 재고가 차감된다.</x:v>
      </x:c>
      <x:c r="J39" s="13" t="str"/>
    </x:row>
    <x:row r="40">
      <x:c r="A40" s="13" t="str">
        <x:v>COM-004</x:v>
      </x:c>
      <x:c r="B40" s="13" t="str">
        <x:v>Commerce</x:v>
      </x:c>
      <x:c r="C40" s="13" t="str">
        <x:v>장바구니</x:v>
      </x:c>
      <x:c r="D40" s="13" t="str">
        <x:v>비회원/회원 장바구니, 옵션 변경</x:v>
      </x:c>
      <x:c r="E40" s="13" t="str">
        <x:v>P0</x:v>
      </x:c>
      <x:c r="F40" s="13" t="str">
        <x:v>V1</x:v>
      </x:c>
      <x:c r="G40" s="13" t="str">
        <x:v>Frontend</x:v>
      </x:c>
      <x:c r="H40" s="13" t="str">
        <x:v>Not Started</x:v>
      </x:c>
      <x:c r="I40" s="13" t="str">
        <x:v>상품 옵션/수량 검증이 동작한다.</x:v>
      </x:c>
      <x:c r="J40" s="13" t="str"/>
    </x:row>
    <x:row r="41">
      <x:c r="A41" s="13" t="str">
        <x:v>COM-005</x:v>
      </x:c>
      <x:c r="B41" s="13" t="str">
        <x:v>Commerce</x:v>
      </x:c>
      <x:c r="C41" s="13" t="str">
        <x:v>주문서/체크아웃</x:v>
      </x:c>
      <x:c r="D41" s="13" t="str">
        <x:v>배송지, 쿠폰, 적립금, 결제수단</x:v>
      </x:c>
      <x:c r="E41" s="13" t="str">
        <x:v>P0</x:v>
      </x:c>
      <x:c r="F41" s="13" t="str">
        <x:v>V1</x:v>
      </x:c>
      <x:c r="G41" s="13" t="str">
        <x:v>Frontend</x:v>
      </x:c>
      <x:c r="H41" s="13" t="str">
        <x:v>Not Started</x:v>
      </x:c>
      <x:c r="I41" s="13" t="str">
        <x:v>결제 전 금액이 서버 검증된다.</x:v>
      </x:c>
      <x:c r="J41" s="13" t="str"/>
    </x:row>
    <x:row r="42">
      <x:c r="A42" s="13" t="str">
        <x:v>COM-006</x:v>
      </x:c>
      <x:c r="B42" s="13" t="str">
        <x:v>Commerce</x:v>
      </x:c>
      <x:c r="C42" s="13" t="str">
        <x:v>PG 연동</x:v>
      </x:c>
      <x:c r="D42" s="13" t="str">
        <x:v>국내 PG와 결제 승인/취소/웹훅</x:v>
      </x:c>
      <x:c r="E42" s="13" t="str">
        <x:v>P0</x:v>
      </x:c>
      <x:c r="F42" s="13" t="str">
        <x:v>V1</x:v>
      </x:c>
      <x:c r="G42" s="13" t="str">
        <x:v>Backend</x:v>
      </x:c>
      <x:c r="H42" s="13" t="str">
        <x:v>Not Started</x:v>
      </x:c>
      <x:c r="I42" s="13" t="str">
        <x:v>idempotency와 웹훅 서명 검증을 적용한다.</x:v>
      </x:c>
      <x:c r="J42" s="13" t="str"/>
    </x:row>
    <x:row r="43">
      <x:c r="A43" s="13" t="str">
        <x:v>COM-007</x:v>
      </x:c>
      <x:c r="B43" s="13" t="str">
        <x:v>Commerce</x:v>
      </x:c>
      <x:c r="C43" s="13" t="str">
        <x:v>주문 목록/탭</x:v>
      </x:c>
      <x:c r="D43" s="13" t="str">
        <x:v>주문 상태별 탭, 필터, 검색, 일괄 처리</x:v>
      </x:c>
      <x:c r="E43" s="13" t="str">
        <x:v>P0</x:v>
      </x:c>
      <x:c r="F43" s="13" t="str">
        <x:v>V1</x:v>
      </x:c>
      <x:c r="G43" s="13" t="str">
        <x:v>Frontend</x:v>
      </x:c>
      <x:c r="H43" s="13" t="str">
        <x:v>Not Started</x:v>
      </x:c>
      <x:c r="I43" s="13" t="str">
        <x:v>자주 보는 조건을 탭으로 저장한다.</x:v>
      </x:c>
      <x:c r="J43" s="13" t="str">
        <x:v>R5</x:v>
      </x:c>
    </x:row>
    <x:row r="44">
      <x:c r="A44" s="13" t="str">
        <x:v>COM-008</x:v>
      </x:c>
      <x:c r="B44" s="13" t="str">
        <x:v>Commerce</x:v>
      </x:c>
      <x:c r="C44" s="13" t="str">
        <x:v>주문 상세/상태 변경</x:v>
      </x:c>
      <x:c r="D44" s="13" t="str">
        <x:v>결제/구매자/배송/품목 정보, 상태 변경</x:v>
      </x:c>
      <x:c r="E44" s="13" t="str">
        <x:v>P0</x:v>
      </x:c>
      <x:c r="F44" s="13" t="str">
        <x:v>V1</x:v>
      </x:c>
      <x:c r="G44" s="13" t="str">
        <x:v>Backend</x:v>
      </x:c>
      <x:c r="H44" s="13" t="str">
        <x:v>Not Started</x:v>
      </x:c>
      <x:c r="I44" s="13" t="str">
        <x:v>상태 변경 시 알림과 로그가 남는다.</x:v>
      </x:c>
      <x:c r="J44" s="13" t="str">
        <x:v>R5</x:v>
      </x:c>
    </x:row>
    <x:row r="45">
      <x:c r="A45" s="13" t="str">
        <x:v>COM-009</x:v>
      </x:c>
      <x:c r="B45" s="13" t="str">
        <x:v>Commerce</x:v>
      </x:c>
      <x:c r="C45" s="13" t="str">
        <x:v>부분 취소/환불</x:v>
      </x:c>
      <x:c r="D45" s="13" t="str">
        <x:v>품목 단위 취소/환불, 금액 재계산</x:v>
      </x:c>
      <x:c r="E45" s="13" t="str">
        <x:v>P1</x:v>
      </x:c>
      <x:c r="F45" s="13" t="str">
        <x:v>V1</x:v>
      </x:c>
      <x:c r="G45" s="13" t="str">
        <x:v>Backend</x:v>
      </x:c>
      <x:c r="H45" s="13" t="str">
        <x:v>Not Started</x:v>
      </x:c>
      <x:c r="I45" s="13" t="str">
        <x:v>주문 원장과 PG 환불이 일치한다.</x:v>
      </x:c>
      <x:c r="J45" s="13" t="str"/>
    </x:row>
    <x:row r="46">
      <x:c r="A46" s="13" t="str">
        <x:v>COM-010</x:v>
      </x:c>
      <x:c r="B46" s="13" t="str">
        <x:v>Commerce</x:v>
      </x:c>
      <x:c r="C46" s="13" t="str">
        <x:v>부분 배송</x:v>
      </x:c>
      <x:c r="D46" s="13" t="str">
        <x:v>품목/수량별 배송 분리</x:v>
      </x:c>
      <x:c r="E46" s="13" t="str">
        <x:v>P2</x:v>
      </x:c>
      <x:c r="F46" s="13" t="str">
        <x:v>V1.5</x:v>
      </x:c>
      <x:c r="G46" s="13" t="str">
        <x:v>Backend</x:v>
      </x:c>
      <x:c r="H46" s="13" t="str">
        <x:v>Not Started</x:v>
      </x:c>
      <x:c r="I46" s="13" t="str">
        <x:v>배송 단위별 송장과 상태가 분리된다.</x:v>
      </x:c>
      <x:c r="J46" s="13" t="str"/>
    </x:row>
    <x:row r="47">
      <x:c r="A47" s="13" t="str">
        <x:v>COM-011</x:v>
      </x:c>
      <x:c r="B47" s="13" t="str">
        <x:v>Commerce</x:v>
      </x:c>
      <x:c r="C47" s="13" t="str">
        <x:v>쿠폰/할인</x:v>
      </x:c>
      <x:c r="D47" s="13" t="str">
        <x:v>정액/정률/무료배송/대상 제한</x:v>
      </x:c>
      <x:c r="E47" s="13" t="str">
        <x:v>P1</x:v>
      </x:c>
      <x:c r="F47" s="13" t="str">
        <x:v>V1</x:v>
      </x:c>
      <x:c r="G47" s="13" t="str">
        <x:v>Backend</x:v>
      </x:c>
      <x:c r="H47" s="13" t="str">
        <x:v>Not Started</x:v>
      </x:c>
      <x:c r="I47" s="13" t="str">
        <x:v>중복/최소금액/기간 검증이 동작한다.</x:v>
      </x:c>
      <x:c r="J47" s="13" t="str">
        <x:v>R2</x:v>
      </x:c>
    </x:row>
    <x:row r="48">
      <x:c r="A48" s="13" t="str">
        <x:v>COM-012</x:v>
      </x:c>
      <x:c r="B48" s="13" t="str">
        <x:v>Commerce</x:v>
      </x:c>
      <x:c r="C48" s="13" t="str">
        <x:v>회원 등급/적립금</x:v>
      </x:c>
      <x:c r="D48" s="13" t="str">
        <x:v>등급별 혜택, 포인트 적립/사용</x:v>
      </x:c>
      <x:c r="E48" s="13" t="str">
        <x:v>P1</x:v>
      </x:c>
      <x:c r="F48" s="13" t="str">
        <x:v>V1</x:v>
      </x:c>
      <x:c r="G48" s="13" t="str">
        <x:v>Backend</x:v>
      </x:c>
      <x:c r="H48" s="13" t="str">
        <x:v>Not Started</x:v>
      </x:c>
      <x:c r="I48" s="13" t="str">
        <x:v>적립금 원장이 관리된다.</x:v>
      </x:c>
      <x:c r="J48" s="13" t="str">
        <x:v>R2</x:v>
      </x:c>
    </x:row>
    <x:row r="49">
      <x:c r="A49" s="13" t="str">
        <x:v>COM-013</x:v>
      </x:c>
      <x:c r="B49" s="13" t="str">
        <x:v>Commerce</x:v>
      </x:c>
      <x:c r="C49" s="13" t="str">
        <x:v>리뷰/상품문의</x:v>
      </x:c>
      <x:c r="D49" s="13" t="str">
        <x:v>상품 리뷰, Q&amp;A, 신고/숨김</x:v>
      </x:c>
      <x:c r="E49" s="13" t="str">
        <x:v>P1</x:v>
      </x:c>
      <x:c r="F49" s="13" t="str">
        <x:v>V1</x:v>
      </x:c>
      <x:c r="G49" s="13" t="str">
        <x:v>Backend</x:v>
      </x:c>
      <x:c r="H49" s="13" t="str">
        <x:v>Not Started</x:v>
      </x:c>
      <x:c r="I49" s="13" t="str">
        <x:v>상품 상세에 리뷰/문의 위젯이 노출된다.</x:v>
      </x:c>
      <x:c r="J49" s="13" t="str">
        <x:v>R2</x:v>
      </x:c>
    </x:row>
    <x:row r="50">
      <x:c r="A50" s="13" t="str">
        <x:v>COM-014</x:v>
      </x:c>
      <x:c r="B50" s="13" t="str">
        <x:v>Commerce</x:v>
      </x:c>
      <x:c r="C50" s="13" t="str">
        <x:v>배송/택배 연동</x:v>
      </x:c>
      <x:c r="D50" s="13" t="str">
        <x:v>배송 템플릿, 송장, 배송 추적</x:v>
      </x:c>
      <x:c r="E50" s="13" t="str">
        <x:v>P1</x:v>
      </x:c>
      <x:c r="F50" s="13" t="str">
        <x:v>V1</x:v>
      </x:c>
      <x:c r="G50" s="13" t="str">
        <x:v>Backend</x:v>
      </x:c>
      <x:c r="H50" s="13" t="str">
        <x:v>Not Started</x:v>
      </x:c>
      <x:c r="I50" s="13" t="str">
        <x:v>송장 등록 시 배송중 상태로 변경된다.</x:v>
      </x:c>
      <x:c r="J50" s="13" t="str">
        <x:v>R2</x:v>
      </x:c>
    </x:row>
    <x:row r="51">
      <x:c r="A51" s="13" t="str">
        <x:v>COM-015</x:v>
      </x:c>
      <x:c r="B51" s="13" t="str">
        <x:v>Commerce</x:v>
      </x:c>
      <x:c r="C51" s="13" t="str">
        <x:v>정기구독</x:v>
      </x:c>
      <x:c r="D51" s="13" t="str">
        <x:v>정기결제, 주기, 회차, 실패 처리</x:v>
      </x:c>
      <x:c r="E51" s="13" t="str">
        <x:v>P3</x:v>
      </x:c>
      <x:c r="F51" s="13" t="str">
        <x:v>V2</x:v>
      </x:c>
      <x:c r="G51" s="13" t="str">
        <x:v>Backend</x:v>
      </x:c>
      <x:c r="H51" s="13" t="str">
        <x:v>Deferred</x:v>
      </x:c>
      <x:c r="I51" s="13" t="str">
        <x:v>구독 실패/재시도 정책을 적용한다.</x:v>
      </x:c>
      <x:c r="J51" s="13" t="str">
        <x:v>R2</x:v>
      </x:c>
    </x:row>
    <x:row r="52">
      <x:c r="A52" s="13" t="str">
        <x:v>COM-016</x:v>
      </x:c>
      <x:c r="B52" s="13" t="str">
        <x:v>Commerce</x:v>
      </x:c>
      <x:c r="C52" s="13" t="str">
        <x:v>외부 쇼핑몰 통합</x:v>
      </x:c>
      <x:c r="D52" s="13" t="str">
        <x:v>마켓 주문/상품 연동</x:v>
      </x:c>
      <x:c r="E52" s="13" t="str">
        <x:v>P3</x:v>
      </x:c>
      <x:c r="F52" s="13" t="str">
        <x:v>V2</x:v>
      </x:c>
      <x:c r="G52" s="13" t="str">
        <x:v>Backend</x:v>
      </x:c>
      <x:c r="H52" s="13" t="str">
        <x:v>Deferred</x:v>
      </x:c>
      <x:c r="I52" s="13" t="str">
        <x:v>외부 채널 주문을 동일 주문 모델로 수집한다.</x:v>
      </x:c>
      <x:c r="J52" s="13" t="str">
        <x:v>R2</x:v>
      </x:c>
    </x:row>
    <x:row r="53">
      <x:c r="A53" s="13" t="str">
        <x:v>BOOK-001</x:v>
      </x:c>
      <x:c r="B53" s="13" t="str">
        <x:v>Booking</x:v>
      </x:c>
      <x:c r="C53" s="13" t="str">
        <x:v>예약 기능 활성화</x:v>
      </x:c>
      <x:c r="D53" s="13" t="str">
        <x:v>사이트별 예약 모듈 enable/disable</x:v>
      </x:c>
      <x:c r="E53" s="13" t="str">
        <x:v>P1</x:v>
      </x:c>
      <x:c r="F53" s="13" t="str">
        <x:v>V1.5</x:v>
      </x:c>
      <x:c r="G53" s="13" t="str">
        <x:v>Backend</x:v>
      </x:c>
      <x:c r="H53" s="13" t="str">
        <x:v>Not Started</x:v>
      </x:c>
      <x:c r="I53" s="13" t="str">
        <x:v>비활성 시 예약 메뉴/위젯이 숨겨진다.</x:v>
      </x:c>
      <x:c r="J53" s="13" t="str">
        <x:v>R4</x:v>
      </x:c>
    </x:row>
    <x:row r="54">
      <x:c r="A54" s="13" t="str">
        <x:v>BOOK-002</x:v>
      </x:c>
      <x:c r="B54" s="13" t="str">
        <x:v>Booking</x:v>
      </x:c>
      <x:c r="C54" s="13" t="str">
        <x:v>예약 상품</x:v>
      </x:c>
      <x:c r="D54" s="13" t="str">
        <x:v>서비스/공간/객실/클래스 등록</x:v>
      </x:c>
      <x:c r="E54" s="13" t="str">
        <x:v>P1</x:v>
      </x:c>
      <x:c r="F54" s="13" t="str">
        <x:v>V1.5</x:v>
      </x:c>
      <x:c r="G54" s="13" t="str">
        <x:v>Backend</x:v>
      </x:c>
      <x:c r="H54" s="13" t="str">
        <x:v>Not Started</x:v>
      </x:c>
      <x:c r="I54" s="13" t="str">
        <x:v>유형별 필수 필드가 검증된다.</x:v>
      </x:c>
      <x:c r="J54" s="13" t="str">
        <x:v>R4</x:v>
      </x:c>
    </x:row>
    <x:row r="55">
      <x:c r="A55" s="13" t="str">
        <x:v>BOOK-003</x:v>
      </x:c>
      <x:c r="B55" s="13" t="str">
        <x:v>Booking</x:v>
      </x:c>
      <x:c r="C55" s="13" t="str">
        <x:v>예약 캘린더</x:v>
      </x:c>
      <x:c r="D55" s="13" t="str">
        <x:v>가능일/시간/잔여수량/휴무일</x:v>
      </x:c>
      <x:c r="E55" s="13" t="str">
        <x:v>P1</x:v>
      </x:c>
      <x:c r="F55" s="13" t="str">
        <x:v>V1.5</x:v>
      </x:c>
      <x:c r="G55" s="13" t="str">
        <x:v>Frontend</x:v>
      </x:c>
      <x:c r="H55" s="13" t="str">
        <x:v>Not Started</x:v>
      </x:c>
      <x:c r="I55" s="13" t="str">
        <x:v>달력 위젯에서 예약 가능성이 표시된다.</x:v>
      </x:c>
      <x:c r="J55" s="13" t="str">
        <x:v>R4</x:v>
      </x:c>
    </x:row>
    <x:row r="56">
      <x:c r="A56" s="13" t="str">
        <x:v>BOOK-004</x:v>
      </x:c>
      <x:c r="B56" s="13" t="str">
        <x:v>Booking</x:v>
      </x:c>
      <x:c r="C56" s="13" t="str">
        <x:v>예약 결제/취소 정책</x:v>
      </x:c>
      <x:c r="D56" s="13" t="str">
        <x:v>선결제, 보증금, 취소수수료</x:v>
      </x:c>
      <x:c r="E56" s="13" t="str">
        <x:v>P2</x:v>
      </x:c>
      <x:c r="F56" s="13" t="str">
        <x:v>V1.5</x:v>
      </x:c>
      <x:c r="G56" s="13" t="str">
        <x:v>Backend</x:v>
      </x:c>
      <x:c r="H56" s="13" t="str">
        <x:v>Not Started</x:v>
      </x:c>
      <x:c r="I56" s="13" t="str">
        <x:v>정책이 예약/환불 계산에 반영된다.</x:v>
      </x:c>
      <x:c r="J56" s="13" t="str"/>
    </x:row>
    <x:row r="57">
      <x:c r="A57" s="13" t="str">
        <x:v>BOOK-005</x:v>
      </x:c>
      <x:c r="B57" s="13" t="str">
        <x:v>Booking</x:v>
      </x:c>
      <x:c r="C57" s="13" t="str">
        <x:v>관리자 예약 등록</x:v>
      </x:c>
      <x:c r="D57" s="13" t="str">
        <x:v>전화/현장 예약 수동 등록</x:v>
      </x:c>
      <x:c r="E57" s="13" t="str">
        <x:v>P2</x:v>
      </x:c>
      <x:c r="F57" s="13" t="str">
        <x:v>V1.5</x:v>
      </x:c>
      <x:c r="G57" s="13" t="str">
        <x:v>Frontend</x:v>
      </x:c>
      <x:c r="H57" s="13" t="str">
        <x:v>Not Started</x:v>
      </x:c>
      <x:c r="I57" s="13" t="str">
        <x:v>관리자가 고객 대신 예약을 생성한다.</x:v>
      </x:c>
      <x:c r="J57" s="13" t="str">
        <x:v>R2</x:v>
      </x:c>
    </x:row>
    <x:row r="58">
      <x:c r="A58" s="13" t="str">
        <x:v>CRM-001</x:v>
      </x:c>
      <x:c r="B58" s="13" t="str">
        <x:v>CRM/Marketing</x:v>
      </x:c>
      <x:c r="C58" s="13" t="str">
        <x:v>고객 목록</x:v>
      </x:c>
      <x:c r="D58" s="13" t="str">
        <x:v>회원/비회원 고객, 등급, 동의 상태</x:v>
      </x:c>
      <x:c r="E58" s="13" t="str">
        <x:v>P1</x:v>
      </x:c>
      <x:c r="F58" s="13" t="str">
        <x:v>V1</x:v>
      </x:c>
      <x:c r="G58" s="13" t="str">
        <x:v>Backend</x:v>
      </x:c>
      <x:c r="H58" s="13" t="str">
        <x:v>Not Started</x:v>
      </x:c>
      <x:c r="I58" s="13" t="str">
        <x:v>동의 항목별 상태가 관리된다.</x:v>
      </x:c>
      <x:c r="J58" s="13" t="str">
        <x:v>R1</x:v>
      </x:c>
    </x:row>
    <x:row r="59">
      <x:c r="A59" s="13" t="str">
        <x:v>CRM-002</x:v>
      </x:c>
      <x:c r="B59" s="13" t="str">
        <x:v>CRM/Marketing</x:v>
      </x:c>
      <x:c r="C59" s="13" t="str">
        <x:v>고객 이벤트 수집</x:v>
      </x:c>
      <x:c r="D59" s="13" t="str">
        <x:v>PageView, Purchase, FormSubmit 등</x:v>
      </x:c>
      <x:c r="E59" s="13" t="str">
        <x:v>P1</x:v>
      </x:c>
      <x:c r="F59" s="13" t="str">
        <x:v>V1</x:v>
      </x:c>
      <x:c r="G59" s="13" t="str">
        <x:v>Data</x:v>
      </x:c>
      <x:c r="H59" s="13" t="str">
        <x:v>Not Started</x:v>
      </x:c>
      <x:c r="I59" s="13" t="str">
        <x:v>이벤트가 site_id와 customer_id로 저장된다.</x:v>
      </x:c>
      <x:c r="J59" s="13" t="str">
        <x:v>R1</x:v>
      </x:c>
    </x:row>
    <x:row r="60">
      <x:c r="A60" s="13" t="str">
        <x:v>CRM-003</x:v>
      </x:c>
      <x:c r="B60" s="13" t="str">
        <x:v>CRM/Marketing</x:v>
      </x:c>
      <x:c r="C60" s="13" t="str">
        <x:v>세그먼트</x:v>
      </x:c>
      <x:c r="D60" s="13" t="str">
        <x:v>구매/방문/관심사 기반 조건 그룹</x:v>
      </x:c>
      <x:c r="E60" s="13" t="str">
        <x:v>P1</x:v>
      </x:c>
      <x:c r="F60" s="13" t="str">
        <x:v>V1.5</x:v>
      </x:c>
      <x:c r="G60" s="13" t="str">
        <x:v>Backend</x:v>
      </x:c>
      <x:c r="H60" s="13" t="str">
        <x:v>Not Started</x:v>
      </x:c>
      <x:c r="I60" s="13" t="str">
        <x:v>조건 저장 후 대상자가 계산된다.</x:v>
      </x:c>
      <x:c r="J60" s="13" t="str">
        <x:v>R1</x:v>
      </x:c>
    </x:row>
    <x:row r="61">
      <x:c r="A61" s="13" t="str">
        <x:v>CRM-004</x:v>
      </x:c>
      <x:c r="B61" s="13" t="str">
        <x:v>CRM/Marketing</x:v>
      </x:c>
      <x:c r="C61" s="13" t="str">
        <x:v>자동 메시지</x:v>
      </x:c>
      <x:c r="D61" s="13" t="str">
        <x:v>트리거-조건-액션 자동화</x:v>
      </x:c>
      <x:c r="E61" s="13" t="str">
        <x:v>P2</x:v>
      </x:c>
      <x:c r="F61" s="13" t="str">
        <x:v>V1.5</x:v>
      </x:c>
      <x:c r="G61" s="13" t="str">
        <x:v>Backend</x:v>
      </x:c>
      <x:c r="H61" s="13" t="str">
        <x:v>Not Started</x:v>
      </x:c>
      <x:c r="I61" s="13" t="str">
        <x:v>중복 발송 방지와 발송 로그가 동작한다.</x:v>
      </x:c>
      <x:c r="J61" s="13" t="str">
        <x:v>R1</x:v>
      </x:c>
    </x:row>
    <x:row r="62">
      <x:c r="A62" s="13" t="str">
        <x:v>CRM-005</x:v>
      </x:c>
      <x:c r="B62" s="13" t="str">
        <x:v>CRM/Marketing</x:v>
      </x:c>
      <x:c r="C62" s="13" t="str">
        <x:v>SMS/알림톡/이메일</x:v>
      </x:c>
      <x:c r="D62" s="13" t="str">
        <x:v>정보성/마케팅 메시지 발송</x:v>
      </x:c>
      <x:c r="E62" s="13" t="str">
        <x:v>P1</x:v>
      </x:c>
      <x:c r="F62" s="13" t="str">
        <x:v>V1</x:v>
      </x:c>
      <x:c r="G62" s="13" t="str">
        <x:v>Backend</x:v>
      </x:c>
      <x:c r="H62" s="13" t="str">
        <x:v>Not Started</x:v>
      </x:c>
      <x:c r="I62" s="13" t="str">
        <x:v>수신동의와 템플릿 검수가 반영된다.</x:v>
      </x:c>
      <x:c r="J62" s="13" t="str">
        <x:v>R1/R2</x:v>
      </x:c>
    </x:row>
    <x:row r="63">
      <x:c r="A63" s="13" t="str">
        <x:v>CRM-006</x:v>
      </x:c>
      <x:c r="B63" s="13" t="str">
        <x:v>CRM/Marketing</x:v>
      </x:c>
      <x:c r="C63" s="13" t="str">
        <x:v>광고/픽셀 연동</x:v>
      </x:c>
      <x:c r="D63" s="13" t="str">
        <x:v>GA4, Meta, Naver/Kakao 픽셀</x:v>
      </x:c>
      <x:c r="E63" s="13" t="str">
        <x:v>P2</x:v>
      </x:c>
      <x:c r="F63" s="13" t="str">
        <x:v>V1.5</x:v>
      </x:c>
      <x:c r="G63" s="13" t="str">
        <x:v>Frontend</x:v>
      </x:c>
      <x:c r="H63" s="13" t="str">
        <x:v>Not Started</x:v>
      </x:c>
      <x:c r="I63" s="13" t="str">
        <x:v>사이트별 스크립트가 안전하게 삽입된다.</x:v>
      </x:c>
      <x:c r="J63" s="13" t="str">
        <x:v>R2</x:v>
      </x:c>
    </x:row>
    <x:row r="64">
      <x:c r="A64" s="13" t="str">
        <x:v>AN-001</x:v>
      </x:c>
      <x:c r="B64" s="13" t="str">
        <x:v>Analytics</x:v>
      </x:c>
      <x:c r="C64" s="13" t="str">
        <x:v>방문/트래픽 통계</x:v>
      </x:c>
      <x:c r="D64" s="13" t="str">
        <x:v>방문자, 유입, 페이지뷰, 기기</x:v>
      </x:c>
      <x:c r="E64" s="13" t="str">
        <x:v>P1</x:v>
      </x:c>
      <x:c r="F64" s="13" t="str">
        <x:v>V1</x:v>
      </x:c>
      <x:c r="G64" s="13" t="str">
        <x:v>Data</x:v>
      </x:c>
      <x:c r="H64" s="13" t="str">
        <x:v>Not Started</x:v>
      </x:c>
      <x:c r="I64" s="13" t="str">
        <x:v>대시보드에서 기간별 조회가 가능하다.</x:v>
      </x:c>
      <x:c r="J64" s="13" t="str">
        <x:v>R1/R2</x:v>
      </x:c>
    </x:row>
    <x:row r="65">
      <x:c r="A65" s="13" t="str">
        <x:v>AN-002</x:v>
      </x:c>
      <x:c r="B65" s="13" t="str">
        <x:v>Analytics</x:v>
      </x:c>
      <x:c r="C65" s="13" t="str">
        <x:v>매출/주문 통계</x:v>
      </x:c>
      <x:c r="D65" s="13" t="str">
        <x:v>매출, 주문수, 객단가, 상품별 매출</x:v>
      </x:c>
      <x:c r="E65" s="13" t="str">
        <x:v>P1</x:v>
      </x:c>
      <x:c r="F65" s="13" t="str">
        <x:v>V1</x:v>
      </x:c>
      <x:c r="G65" s="13" t="str">
        <x:v>Data</x:v>
      </x:c>
      <x:c r="H65" s="13" t="str">
        <x:v>Not Started</x:v>
      </x:c>
      <x:c r="I65" s="13" t="str">
        <x:v>주문 상태 기준 매출 집계가 일치한다.</x:v>
      </x:c>
      <x:c r="J65" s="13" t="str">
        <x:v>R2</x:v>
      </x:c>
    </x:row>
    <x:row r="66">
      <x:c r="A66" s="13" t="str">
        <x:v>AN-003</x:v>
      </x:c>
      <x:c r="B66" s="13" t="str">
        <x:v>Analytics</x:v>
      </x:c>
      <x:c r="C66" s="13" t="str">
        <x:v>전환 퍼널</x:v>
      </x:c>
      <x:c r="D66" s="13" t="str">
        <x:v>방문-상품조회-장바구니-구매</x:v>
      </x:c>
      <x:c r="E66" s="13" t="str">
        <x:v>P2</x:v>
      </x:c>
      <x:c r="F66" s="13" t="str">
        <x:v>V1.5</x:v>
      </x:c>
      <x:c r="G66" s="13" t="str">
        <x:v>Data</x:v>
      </x:c>
      <x:c r="H66" s="13" t="str">
        <x:v>Not Started</x:v>
      </x:c>
      <x:c r="I66" s="13" t="str">
        <x:v>퍼널 이탈 지점이 표시된다.</x:v>
      </x:c>
      <x:c r="J66" s="13" t="str"/>
    </x:row>
    <x:row r="67">
      <x:c r="A67" s="13" t="str">
        <x:v>AN-004</x:v>
      </x:c>
      <x:c r="B67" s="13" t="str">
        <x:v>Analytics</x:v>
      </x:c>
      <x:c r="C67" s="13" t="str">
        <x:v>AI 주간 리포트</x:v>
      </x:c>
      <x:c r="D67" s="13" t="str">
        <x:v>성과 요약과 개선 우선순위</x:v>
      </x:c>
      <x:c r="E67" s="13" t="str">
        <x:v>P2</x:v>
      </x:c>
      <x:c r="F67" s="13" t="str">
        <x:v>V1.5</x:v>
      </x:c>
      <x:c r="G67" s="13" t="str">
        <x:v>AI</x:v>
      </x:c>
      <x:c r="H67" s="13" t="str">
        <x:v>Not Started</x:v>
      </x:c>
      <x:c r="I67" s="13" t="str">
        <x:v>매주 운영자에게 요약이 생성된다.</x:v>
      </x:c>
      <x:c r="J67" s="13" t="str">
        <x:v>R8/R9</x:v>
      </x:c>
    </x:row>
    <x:row r="68">
      <x:c r="A68" s="13" t="str">
        <x:v>OPS-001</x:v>
      </x:c>
      <x:c r="B68" s="13" t="str">
        <x:v>Ops/Security</x:v>
      </x:c>
      <x:c r="C68" s="13" t="str">
        <x:v>도메인 연결</x:v>
      </x:c>
      <x:c r="D68" s="13" t="str">
        <x:v>기본 서브도메인, 커스텀 도메인, DNS 안내</x:v>
      </x:c>
      <x:c r="E68" s="13" t="str">
        <x:v>P0</x:v>
      </x:c>
      <x:c r="F68" s="13" t="str">
        <x:v>MVP</x:v>
      </x:c>
      <x:c r="G68" s="13" t="str">
        <x:v>DevOps</x:v>
      </x:c>
      <x:c r="H68" s="13" t="str">
        <x:v>Not Started</x:v>
      </x:c>
      <x:c r="I68" s="13" t="str">
        <x:v>도메인 상태 검증이 가능하다.</x:v>
      </x:c>
      <x:c r="J68" s="13" t="str">
        <x:v>R2</x:v>
      </x:c>
    </x:row>
    <x:row r="69">
      <x:c r="A69" s="13" t="str">
        <x:v>OPS-002</x:v>
      </x:c>
      <x:c r="B69" s="13" t="str">
        <x:v>Ops/Security</x:v>
      </x:c>
      <x:c r="C69" s="13" t="str">
        <x:v>SSL 자동화</x:v>
      </x:c>
      <x:c r="D69" s="13" t="str">
        <x:v>도메인별 인증서 발급/갱신</x:v>
      </x:c>
      <x:c r="E69" s="13" t="str">
        <x:v>P0</x:v>
      </x:c>
      <x:c r="F69" s="13" t="str">
        <x:v>MVP</x:v>
      </x:c>
      <x:c r="G69" s="13" t="str">
        <x:v>DevOps</x:v>
      </x:c>
      <x:c r="H69" s="13" t="str">
        <x:v>Not Started</x:v>
      </x:c>
      <x:c r="I69" s="13" t="str">
        <x:v>HTTPS 강제와 갱신 알림이 동작한다.</x:v>
      </x:c>
      <x:c r="J69" s="13" t="str">
        <x:v>R2</x:v>
      </x:c>
    </x:row>
    <x:row r="70">
      <x:c r="A70" s="13" t="str">
        <x:v>OPS-003</x:v>
      </x:c>
      <x:c r="B70" s="13" t="str">
        <x:v>Ops/Security</x:v>
      </x:c>
      <x:c r="C70" s="13" t="str">
        <x:v>게시/롤백</x:v>
      </x:c>
      <x:c r="D70" s="13" t="str">
        <x:v>Publish snapshot, 이전 버전 복원</x:v>
      </x:c>
      <x:c r="E70" s="13" t="str">
        <x:v>P0</x:v>
      </x:c>
      <x:c r="F70" s="13" t="str">
        <x:v>MVP</x:v>
      </x:c>
      <x:c r="G70" s="13" t="str">
        <x:v>Backend</x:v>
      </x:c>
      <x:c r="H70" s="13" t="str">
        <x:v>Not Started</x:v>
      </x:c>
      <x:c r="I70" s="13" t="str">
        <x:v>게시 실패 시 이전 snapshot이 유지된다.</x:v>
      </x:c>
      <x:c r="J70" s="13" t="str"/>
    </x:row>
    <x:row r="71">
      <x:c r="A71" s="13" t="str">
        <x:v>OPS-004</x:v>
      </x:c>
      <x:c r="B71" s="13" t="str">
        <x:v>Ops/Security</x:v>
      </x:c>
      <x:c r="C71" s="13" t="str">
        <x:v>백업/복구</x:v>
      </x:c>
      <x:c r="D71" s="13" t="str">
        <x:v>DB/파일 백업, 사이트 복구</x:v>
      </x:c>
      <x:c r="E71" s="13" t="str">
        <x:v>P1</x:v>
      </x:c>
      <x:c r="F71" s="13" t="str">
        <x:v>V1</x:v>
      </x:c>
      <x:c r="G71" s="13" t="str">
        <x:v>DevOps</x:v>
      </x:c>
      <x:c r="H71" s="13" t="str">
        <x:v>Not Started</x:v>
      </x:c>
      <x:c r="I71" s="13" t="str">
        <x:v>복구 리허설 결과가 기록된다.</x:v>
      </x:c>
      <x:c r="J71" s="13" t="str">
        <x:v>R1</x:v>
      </x:c>
    </x:row>
    <x:row r="72">
      <x:c r="A72" s="13" t="str">
        <x:v>OPS-005</x:v>
      </x:c>
      <x:c r="B72" s="13" t="str">
        <x:v>Ops/Security</x:v>
      </x:c>
      <x:c r="C72" s="13" t="str">
        <x:v>감사 로그</x:v>
      </x:c>
      <x:c r="D72" s="13" t="str">
        <x:v>관리자/AI 변경 이력</x:v>
      </x:c>
      <x:c r="E72" s="13" t="str">
        <x:v>P0</x:v>
      </x:c>
      <x:c r="F72" s="13" t="str">
        <x:v>MVP</x:v>
      </x:c>
      <x:c r="G72" s="13" t="str">
        <x:v>Security</x:v>
      </x:c>
      <x:c r="H72" s="13" t="str">
        <x:v>Not Started</x:v>
      </x:c>
      <x:c r="I72" s="13" t="str">
        <x:v>누가/언제/무엇을 변경했는지 조회된다.</x:v>
      </x:c>
      <x:c r="J72" s="13" t="str">
        <x:v>R7</x:v>
      </x:c>
    </x:row>
    <x:row r="73">
      <x:c r="A73" s="13" t="str">
        <x:v>OPS-006</x:v>
      </x:c>
      <x:c r="B73" s="13" t="str">
        <x:v>Ops/Security</x:v>
      </x:c>
      <x:c r="C73" s="13" t="str">
        <x:v>개인정보 처리방침 마법사</x:v>
      </x:c>
      <x:c r="D73" s="13" t="str">
        <x:v>처리 항목, 위탁, 보존, 파기 정책 생성 보조</x:v>
      </x:c>
      <x:c r="E73" s="13" t="str">
        <x:v>P1</x:v>
      </x:c>
      <x:c r="F73" s="13" t="str">
        <x:v>V1</x:v>
      </x:c>
      <x:c r="G73" s="13" t="str">
        <x:v>Security</x:v>
      </x:c>
      <x:c r="H73" s="13" t="str">
        <x:v>Not Started</x:v>
      </x:c>
      <x:c r="I73" s="13" t="str">
        <x:v>사이트별 정책 페이지 초안이 생성된다.</x:v>
      </x:c>
      <x:c r="J73" s="13" t="str">
        <x:v>R10</x:v>
      </x:c>
    </x:row>
    <x:row r="74">
      <x:c r="A74" s="13" t="str">
        <x:v>OPS-007</x:v>
      </x:c>
      <x:c r="B74" s="13" t="str">
        <x:v>Ops/Security</x:v>
      </x:c>
      <x:c r="C74" s="13" t="str">
        <x:v>AI 프라이버시 설정</x:v>
      </x:c>
      <x:c r="D74" s="13" t="str">
        <x:v>프롬프트 저장, 학습 활용 동의/거부, 보존기간</x:v>
      </x:c>
      <x:c r="E74" s="13" t="str">
        <x:v>P0</x:v>
      </x:c>
      <x:c r="F74" s="13" t="str">
        <x:v>MVP</x:v>
      </x:c>
      <x:c r="G74" s="13" t="str">
        <x:v>AI</x:v>
      </x:c>
      <x:c r="H74" s="13" t="str">
        <x:v>Not Started</x:v>
      </x:c>
      <x:c r="I74" s="13" t="str">
        <x:v>기본 비학습/보존기간 정책이 적용된다.</x:v>
      </x:c>
      <x:c r="J74" s="13" t="str">
        <x:v>R10</x:v>
      </x:c>
    </x:row>
    <x:row r="75">
      <x:c r="A75" s="13" t="str">
        <x:v>OPS-008</x:v>
      </x:c>
      <x:c r="B75" s="13" t="str">
        <x:v>Ops/Security</x:v>
      </x:c>
      <x:c r="C75" s="13" t="str">
        <x:v>ISMS-P 준비 체크리스트</x:v>
      </x:c>
      <x:c r="D75" s="13" t="str">
        <x:v>관리체계/보호대책/개인정보 처리 요구사항</x:v>
      </x:c>
      <x:c r="E75" s="13" t="str">
        <x:v>P2</x:v>
      </x:c>
      <x:c r="F75" s="13" t="str">
        <x:v>V2</x:v>
      </x:c>
      <x:c r="G75" s="13" t="str">
        <x:v>Security</x:v>
      </x:c>
      <x:c r="H75" s="13" t="str">
        <x:v>Not Started</x:v>
      </x:c>
      <x:c r="I75" s="13" t="str">
        <x:v>증적 수집 태스크가 관리된다.</x:v>
      </x:c>
      <x:c r="J75" s="13" t="str">
        <x:v>R11</x:v>
      </x:c>
    </x:row>
    <x:row r="76">
      <x:c r="A76" s="13" t="str">
        <x:v>APP-001</x:v>
      </x:c>
      <x:c r="B76" s="13" t="str">
        <x:v>App Marketplace</x:v>
      </x:c>
      <x:c r="C76" s="13" t="str">
        <x:v>웹훅</x:v>
      </x:c>
      <x:c r="D76" s="13" t="str">
        <x:v>주문/회원/폼/예약 이벤트 발송</x:v>
      </x:c>
      <x:c r="E76" s="13" t="str">
        <x:v>P2</x:v>
      </x:c>
      <x:c r="F76" s="13" t="str">
        <x:v>V1.5</x:v>
      </x:c>
      <x:c r="G76" s="13" t="str">
        <x:v>Backend</x:v>
      </x:c>
      <x:c r="H76" s="13" t="str">
        <x:v>Not Started</x:v>
      </x:c>
      <x:c r="I76" s="13" t="str">
        <x:v>서명/재시도/DLQ가 동작한다.</x:v>
      </x:c>
      <x:c r="J76" s="13" t="str"/>
    </x:row>
    <x:row r="77">
      <x:c r="A77" s="13" t="str">
        <x:v>APP-002</x:v>
      </x:c>
      <x:c r="B77" s="13" t="str">
        <x:v>App Marketplace</x:v>
      </x:c>
      <x:c r="C77" s="13" t="str">
        <x:v>API 키</x:v>
      </x:c>
      <x:c r="D77" s="13" t="str">
        <x:v>외부 앱용 API key/OAuth 준비</x:v>
      </x:c>
      <x:c r="E77" s="13" t="str">
        <x:v>P2</x:v>
      </x:c>
      <x:c r="F77" s="13" t="str">
        <x:v>V2</x:v>
      </x:c>
      <x:c r="G77" s="13" t="str">
        <x:v>Backend</x:v>
      </x:c>
      <x:c r="H77" s="13" t="str">
        <x:v>Not Started</x:v>
      </x:c>
      <x:c r="I77" s="13" t="str">
        <x:v>권한 scope와 폐기가 가능하다.</x:v>
      </x:c>
      <x:c r="J77" s="13" t="str"/>
    </x:row>
    <x:row r="78">
      <x:c r="A78" s="13" t="str">
        <x:v>APP-003</x:v>
      </x:c>
      <x:c r="B78" s="13" t="str">
        <x:v>App Marketplace</x:v>
      </x:c>
      <x:c r="C78" s="13" t="str">
        <x:v>앱 설치/권한</x:v>
      </x:c>
      <x:c r="D78" s="13" t="str">
        <x:v>앱별 권한, 설정, 메뉴/위젯 노출</x:v>
      </x:c>
      <x:c r="E78" s="13" t="str">
        <x:v>P3</x:v>
      </x:c>
      <x:c r="F78" s="13" t="str">
        <x:v>V2</x:v>
      </x:c>
      <x:c r="G78" s="13" t="str">
        <x:v>Backend</x:v>
      </x:c>
      <x:c r="H78" s="13" t="str">
        <x:v>Deferred</x:v>
      </x:c>
      <x:c r="I78" s="13" t="str">
        <x:v>앱 설치 시 사용자 동의가 필요하다.</x:v>
      </x:c>
      <x:c r="J78" s="13" t="str"/>
    </x:row>
    <x:row r="79">
      <x:c r="A79" s="13" t="str">
        <x:v>GLOBAL-001</x:v>
      </x:c>
      <x:c r="B79" s="13" t="str">
        <x:v>Global</x:v>
      </x:c>
      <x:c r="C79" s="13" t="str">
        <x:v>다국어 사이트</x:v>
      </x:c>
      <x:c r="D79" s="13" t="str">
        <x:v>언어별 페이지/상품/메뉴 연결</x:v>
      </x:c>
      <x:c r="E79" s="13" t="str">
        <x:v>P3</x:v>
      </x:c>
      <x:c r="F79" s="13" t="str">
        <x:v>V2</x:v>
      </x:c>
      <x:c r="G79" s="13" t="str">
        <x:v>Frontend</x:v>
      </x:c>
      <x:c r="H79" s="13" t="str">
        <x:v>Deferred</x:v>
      </x:c>
      <x:c r="I79" s="13" t="str">
        <x:v>locale별 콘텐츠가 연결된다.</x:v>
      </x:c>
      <x:c r="J79" s="13" t="str">
        <x:v>R2</x:v>
      </x:c>
    </x:row>
    <x:row r="80">
      <x:c r="A80" s="13" t="str">
        <x:v>GLOBAL-002</x:v>
      </x:c>
      <x:c r="B80" s="13" t="str">
        <x:v>Global</x:v>
      </x:c>
      <x:c r="C80" s="13" t="str">
        <x:v>통화/해외 결제</x:v>
      </x:c>
      <x:c r="D80" s="13" t="str">
        <x:v>통화 노출, 환율, 해외 결제 어댑터</x:v>
      </x:c>
      <x:c r="E80" s="13" t="str">
        <x:v>P3</x:v>
      </x:c>
      <x:c r="F80" s="13" t="str">
        <x:v>V2</x:v>
      </x:c>
      <x:c r="G80" s="13" t="str">
        <x:v>Backend</x:v>
      </x:c>
      <x:c r="H80" s="13" t="str">
        <x:v>Deferred</x:v>
      </x:c>
      <x:c r="I80" s="13" t="str">
        <x:v>결제/정산 통화가 구분된다.</x:v>
      </x:c>
      <x:c r="J80" s="13" t="str">
        <x:v>R2</x:v>
      </x:c>
    </x:row>
  </x:sheetData>
  <x:conditionalFormatting sqref="E2:E80">
    <x:cfRule type="cellIs" dxfId="0" priority="1">
      <x:formula>"P0"</x:formula>
    </x:cfRule>
  </x:conditionalFormatting>
  <x:dataValidations count="4">
    <x:dataValidation type="list" sqref="E2:E80">
      <x:formula1>Lists!$A$2:$A$5</x:formula1>
    </x:dataValidation>
    <x:dataValidation type="list" sqref="F2:F80">
      <x:formula1>Lists!$B$2:$B$6</x:formula1>
    </x:dataValidation>
    <x:dataValidation type="list" sqref="H2:H80">
      <x:formula1>Lists!$C$2:$C$6</x:formula1>
    </x:dataValidation>
    <x:dataValidation type="list" sqref="G2:G80">
      <x:formula1>Lists!$D$2:$D$10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d2acd992b044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32" hidden="0" customWidth="1"/>
    <x:col min="4" max="4" width="40" hidden="0" customWidth="1"/>
    <x:col min="5" max="5" width="32" hidden="0" customWidth="1"/>
    <x:col min="6" max="6" width="12" hidden="0" customWidth="1"/>
  </x:cols>
  <x:sheetData>
    <x:row r="1">
      <x:c r="A1" s="6" t="str">
        <x:v>Phase</x:v>
      </x:c>
      <x:c r="B1" s="6" t="str">
        <x:v>Duration</x:v>
      </x:c>
      <x:c r="C1" s="6" t="str">
        <x:v>Goal</x:v>
      </x:c>
      <x:c r="D1" s="6" t="str">
        <x:v>Key Deliverables</x:v>
      </x:c>
      <x:c r="E1" s="6" t="str">
        <x:v>Exit Criteria</x:v>
      </x:c>
      <x:c r="F1" s="6" t="str">
        <x:v>Owner</x:v>
      </x:c>
    </x:row>
    <x:row r="2">
      <x:c r="A2" s="13" t="str">
        <x:v>0. Strategy/Discovery</x:v>
      </x:c>
      <x:c r="B2" s="13" t="str">
        <x:v>2 weeks</x:v>
      </x:c>
      <x:c r="C2" s="13" t="str">
        <x:v>시장/법무/기술 리서치와 PRD 확정</x:v>
      </x:c>
      <x:c r="D2" s="13" t="str">
        <x:v>기능 범위, IA, DB 초안, 리스크 등록부</x:v>
      </x:c>
      <x:c r="E2" s="13" t="str">
        <x:v>대표 사용자 여정과 범위 승인</x:v>
      </x:c>
      <x:c r="F2" s="13" t="str">
        <x:v>Product</x:v>
      </x:c>
    </x:row>
    <x:row r="3">
      <x:c r="A3" s="13" t="str">
        <x:v>1. SaaS Foundation</x:v>
      </x:c>
      <x:c r="B3" s="13" t="str">
        <x:v>6 weeks</x:v>
      </x:c>
      <x:c r="C3" s="13" t="str">
        <x:v>멀티테넌트 기반 구축</x:v>
      </x:c>
      <x:c r="D3" s="13" t="str">
        <x:v>조직/사이트/권한/구독/도메인 skeleton</x:v>
      </x:c>
      <x:c r="E3" s="13" t="str">
        <x:v>alpha 계정 생성과 사이트 생성 가능</x:v>
      </x:c>
      <x:c r="F3" s="13" t="str">
        <x:v>Backend</x:v>
      </x:c>
    </x:row>
    <x:row r="4">
      <x:c r="A4" s="13" t="str">
        <x:v>2. Builder MVP</x:v>
      </x:c>
      <x:c r="B4" s="13" t="str">
        <x:v>10 weeks</x:v>
      </x:c>
      <x:c r="C4" s="13" t="str">
        <x:v>섹션 기반 빌더와 게시 구현</x:v>
      </x:c>
      <x:c r="D4" s="13" t="str">
        <x:v>템플릿, 테마, 섹션 편집, 미리보기, 게시/롤백</x:v>
      </x:c>
      <x:c r="E4" s="13" t="str">
        <x:v>템플릿 기반 사이트를 게시 가능</x:v>
      </x:c>
      <x:c r="F4" s="13" t="str">
        <x:v>Frontend</x:v>
      </x:c>
    </x:row>
    <x:row r="5">
      <x:c r="A5" s="13" t="str">
        <x:v>3. AI Generation MVP</x:v>
      </x:c>
      <x:c r="B5" s="13" t="str">
        <x:v>6 weeks</x:v>
      </x:c>
      <x:c r="C5" s="13" t="str">
        <x:v>AI 초안 생성과 콘텐츠 보조</x:v>
      </x:c>
      <x:c r="D5" s="13" t="str">
        <x:v>AI 온보딩, SiteSpec, 카피/SEO, AI 작업 로그</x:v>
      </x:c>
      <x:c r="E5" s="13" t="str">
        <x:v>AI 생성 사이트를 편집/게시 가능</x:v>
      </x:c>
      <x:c r="F5" s="13" t="str">
        <x:v>AI</x:v>
      </x:c>
    </x:row>
    <x:row r="6">
      <x:c r="A6" s="13" t="str">
        <x:v>4. Commerce V1</x:v>
      </x:c>
      <x:c r="B6" s="13" t="str">
        <x:v>12 weeks</x:v>
      </x:c>
      <x:c r="C6" s="13" t="str">
        <x:v>쇼핑몰 운영 가능</x:v>
      </x:c>
      <x:c r="D6" s="13" t="str">
        <x:v>상품/옵션/장바구니/주문/결제/배송/쿠폰</x:v>
      </x:c>
      <x:c r="E6" s="13" t="str">
        <x:v>실거래 베타 테스트 통과</x:v>
      </x:c>
      <x:c r="F6" s="13" t="str">
        <x:v>Backend</x:v>
      </x:c>
    </x:row>
    <x:row r="7">
      <x:c r="A7" s="13" t="str">
        <x:v>5. CRM/Booking/Analytics</x:v>
      </x:c>
      <x:c r="B7" s="13" t="str">
        <x:v>10 weeks</x:v>
      </x:c>
      <x:c r="C7" s="13" t="str">
        <x:v>운영 자동화 강화</x:v>
      </x:c>
      <x:c r="D7" s="13" t="str">
        <x:v>예약, 세그먼트, 자동 메시지, 분석 대시보드</x:v>
      </x:c>
      <x:c r="E7" s="13" t="str">
        <x:v>베타 고객 운영 성공 사례 5건</x:v>
      </x:c>
      <x:c r="F7" s="13" t="str">
        <x:v>Data</x:v>
      </x:c>
    </x:row>
    <x:row r="8">
      <x:c r="A8" s="13" t="str">
        <x:v>6. GA Hardening</x:v>
      </x:c>
      <x:c r="B8" s="13" t="str">
        <x:v>8 weeks</x:v>
      </x:c>
      <x:c r="C8" s="13" t="str">
        <x:v>공개 출시 안정화</x:v>
      </x:c>
      <x:c r="D8" s="13" t="str">
        <x:v>성능/보안/백업/CS/문서/가격 정책</x:v>
      </x:c>
      <x:c r="E8" s="13" t="str">
        <x:v>SLA/장애대응/법무 체크 완료</x:v>
      </x:c>
      <x:c r="F8" s="13" t="str">
        <x:v>DevOps</x:v>
      </x:c>
    </x:row>
    <x:row r="9">
      <x:c r="A9" s="13" t="str">
        <x:v>7. V2 Expansion</x:v>
      </x:c>
      <x:c r="B9" s="13" t="str">
        <x:v>Ongoing</x:v>
      </x:c>
      <x:c r="C9" s="13" t="str">
        <x:v>앱마켓/글로벌/에이전트 고도화</x:v>
      </x:c>
      <x:c r="D9" s="13" t="str">
        <x:v>앱 설치, API, 다국어, 운영 에이전트</x:v>
      </x:c>
      <x:c r="E9" s="13" t="str">
        <x:v>파트너 생태계와 엔터프라이즈 PoC</x:v>
      </x:c>
      <x:c r="F9" s="13" t="str">
        <x:v>Product</x:v>
      </x:c>
    </x:row>
  </x:sheetData>
  <x:pageMargins left="0.7" right="0.7" top="0.75" bottom="0.75" header="0.3" footer="0.3"/>
  <x:tableParts count="1">
    <x:tablePart xmlns:r="http://schemas.openxmlformats.org/officeDocument/2006/relationships" r:id="R24e9a561cf8a4c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8" hidden="0" customWidth="1"/>
    <x:col min="4" max="4" width="12" hidden="0" customWidth="1"/>
    <x:col min="5" max="5" width="12" hidden="0" customWidth="1"/>
    <x:col min="6" max="6" width="48" hidden="0" customWidth="1"/>
  </x:cols>
  <x:sheetData>
    <x:row r="1">
      <x:c r="A1" s="6" t="str">
        <x:v>ID</x:v>
      </x:c>
      <x:c r="B1" s="6" t="str">
        <x:v>Persona</x:v>
      </x:c>
      <x:c r="C1" s="6" t="str">
        <x:v>Story</x:v>
      </x:c>
      <x:c r="D1" s="6" t="str">
        <x:v>Priority</x:v>
      </x:c>
      <x:c r="E1" s="6" t="str">
        <x:v>Phase</x:v>
      </x:c>
      <x:c r="F1" s="6" t="str">
        <x:v>Acceptance Criteria</x:v>
      </x:c>
    </x:row>
    <x:row r="2">
      <x:c r="A2" s="13" t="str">
        <x:v>US-001</x:v>
      </x:c>
      <x:c r="B2" s="13" t="str">
        <x:v>초기 브랜드 대표</x:v>
      </x:c>
      <x:c r="C2" s="13" t="str">
        <x:v>브랜드 설명 한 문장으로 사이트 초안을 만들고 싶다.</x:v>
      </x:c>
      <x:c r="D2" s="13" t="str">
        <x:v>P0</x:v>
      </x:c>
      <x:c r="E2" s="13" t="str">
        <x:v>MVP</x:v>
      </x:c>
      <x:c r="F2" s="13" t="str">
        <x:v>AI가 메뉴/페이지/섹션/카피/테마를 포함한 초안을 생성한다.</x:v>
      </x:c>
    </x:row>
    <x:row r="3">
      <x:c r="A3" s="13" t="str">
        <x:v>US-002</x:v>
      </x:c>
      <x:c r="B3" s="13" t="str">
        <x:v>디자이너</x:v>
      </x:c>
      <x:c r="C3" s="13" t="str">
        <x:v>템플릿을 선택한 후 섹션별로 디자인을 수정하고 싶다.</x:v>
      </x:c>
      <x:c r="D3" s="13" t="str">
        <x:v>P0</x:v>
      </x:c>
      <x:c r="E3" s="13" t="str">
        <x:v>MVP</x:v>
      </x:c>
      <x:c r="F3" s="13" t="str">
        <x:v>섹션 추가/삭제/이동/속성 수정이 가능하다.</x:v>
      </x:c>
    </x:row>
    <x:row r="4">
      <x:c r="A4" s="13" t="str">
        <x:v>US-003</x:v>
      </x:c>
      <x:c r="B4" s="13" t="str">
        <x:v>운영자</x:v>
      </x:c>
      <x:c r="C4" s="13" t="str">
        <x:v>PC에서 만든 사이트가 모바일에서도 자연스럽게 보이길 원한다.</x:v>
      </x:c>
      <x:c r="D4" s="13" t="str">
        <x:v>P0</x:v>
      </x:c>
      <x:c r="E4" s="13" t="str">
        <x:v>MVP</x:v>
      </x:c>
      <x:c r="F4" s="13" t="str">
        <x:v>모바일 미리보기와 override 편집이 가능하다.</x:v>
      </x:c>
    </x:row>
    <x:row r="5">
      <x:c r="A5" s="13" t="str">
        <x:v>US-004</x:v>
      </x:c>
      <x:c r="B5" s="13" t="str">
        <x:v>쇼핑몰 운영자</x:v>
      </x:c>
      <x:c r="C5" s="13" t="str">
        <x:v>상품 옵션별 재고와 가격을 관리하고 싶다.</x:v>
      </x:c>
      <x:c r="D5" s="13" t="str">
        <x:v>P0</x:v>
      </x:c>
      <x:c r="E5" s="13" t="str">
        <x:v>V1</x:v>
      </x:c>
      <x:c r="F5" s="13" t="str">
        <x:v>옵션별 SKU, 가격, 재고가 주문에 반영된다.</x:v>
      </x:c>
    </x:row>
    <x:row r="6">
      <x:c r="A6" s="13" t="str">
        <x:v>US-005</x:v>
      </x:c>
      <x:c r="B6" s="13" t="str">
        <x:v>CS 담당자</x:v>
      </x:c>
      <x:c r="C6" s="13" t="str">
        <x:v>주문 지연/환불 문의를 빠르게 파악하고 답변하고 싶다.</x:v>
      </x:c>
      <x:c r="D6" s="13" t="str">
        <x:v>P1</x:v>
      </x:c>
      <x:c r="E6" s="13" t="str">
        <x:v>V1.5</x:v>
      </x:c>
      <x:c r="F6" s="13" t="str">
        <x:v>AI가 주문 이슈와 답변 초안을 제공한다.</x:v>
      </x:c>
    </x:row>
    <x:row r="7">
      <x:c r="A7" s="13" t="str">
        <x:v>US-006</x:v>
      </x:c>
      <x:c r="B7" s="13" t="str">
        <x:v>마케터</x:v>
      </x:c>
      <x:c r="C7" s="13" t="str">
        <x:v>장바구니 이탈 고객에게 자동 메시지를 보내고 싶다.</x:v>
      </x:c>
      <x:c r="D7" s="13" t="str">
        <x:v>P2</x:v>
      </x:c>
      <x:c r="E7" s="13" t="str">
        <x:v>V1.5</x:v>
      </x:c>
      <x:c r="F7" s="13" t="str">
        <x:v>조건/트리거/액션 기반 캠페인이 발송된다.</x:v>
      </x:c>
    </x:row>
    <x:row r="8">
      <x:c r="A8" s="13" t="str">
        <x:v>US-007</x:v>
      </x:c>
      <x:c r="B8" s="13" t="str">
        <x:v>대행사</x:v>
      </x:c>
      <x:c r="C8" s="13" t="str">
        <x:v>여러 고객 사이트를 한 계정에서 관리하고 싶다.</x:v>
      </x:c>
      <x:c r="D8" s="13" t="str">
        <x:v>P2</x:v>
      </x:c>
      <x:c r="E8" s="13" t="str">
        <x:v>V2</x:v>
      </x:c>
      <x:c r="F8" s="13" t="str">
        <x:v>에이전시 콘솔에서 고객/사이트/권한을 관리한다.</x:v>
      </x:c>
    </x:row>
    <x:row r="9">
      <x:c r="A9" s="13" t="str">
        <x:v>US-008</x:v>
      </x:c>
      <x:c r="B9" s="13" t="str">
        <x:v>보안 담당자</x:v>
      </x:c>
      <x:c r="C9" s="13" t="str">
        <x:v>AI가 어떤 데이터에 접근했는지 확인하고 싶다.</x:v>
      </x:c>
      <x:c r="D9" s="13" t="str">
        <x:v>P0</x:v>
      </x:c>
      <x:c r="E9" s="13" t="str">
        <x:v>MVP</x:v>
      </x:c>
      <x:c r="F9" s="13" t="str">
        <x:v>AI 작업 로그에 프롬프트/범위/결과/승인자가 기록된다.</x:v>
      </x:c>
    </x:row>
    <x:row r="10">
      <x:c r="A10" s="13" t="str">
        <x:v>US-009</x:v>
      </x:c>
      <x:c r="B10" s="13" t="str">
        <x:v>예약 사업자</x:v>
      </x:c>
      <x:c r="C10" s="13" t="str">
        <x:v>서비스와 객실 예약을 캘린더로 받고 싶다.</x:v>
      </x:c>
      <x:c r="D10" s="13" t="str">
        <x:v>P1</x:v>
      </x:c>
      <x:c r="E10" s="13" t="str">
        <x:v>V1.5</x:v>
      </x:c>
      <x:c r="F10" s="13" t="str">
        <x:v>예약 가능 시간/잔여 수량/결제/취소 정책이 동작한다.</x:v>
      </x:c>
    </x:row>
    <x:row r="11">
      <x:c r="A11" s="13" t="str">
        <x:v>US-010</x:v>
      </x:c>
      <x:c r="B11" s="13" t="str">
        <x:v>대표</x:v>
      </x:c>
      <x:c r="C11" s="13" t="str">
        <x:v>매주 사이트 성과와 개선 방향을 알고 싶다.</x:v>
      </x:c>
      <x:c r="D11" s="13" t="str">
        <x:v>P2</x:v>
      </x:c>
      <x:c r="E11" s="13" t="str">
        <x:v>V1.5</x:v>
      </x:c>
      <x:c r="F11" s="13" t="str">
        <x:v>AI 주간 리포트와 우선순위 개선안을 제공한다.</x:v>
      </x:c>
    </x:row>
  </x:sheetData>
  <x:pageMargins left="0.7" right="0.7" top="0.75" bottom="0.75" header="0.3" footer="0.3"/>
  <x:tableParts count="1">
    <x:tablePart xmlns:r="http://schemas.openxmlformats.org/officeDocument/2006/relationships" r:id="R02fd32b82ca649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32" hidden="0" customWidth="1"/>
    <x:col min="5" max="5" width="36" hidden="0" customWidth="1"/>
    <x:col min="6" max="6" width="12" hidden="0" customWidth="1"/>
  </x:cols>
  <x:sheetData>
    <x:row r="1">
      <x:c r="A1" s="6" t="str">
        <x:v>Agent</x:v>
      </x:c>
      <x:c r="B1" s="6" t="str">
        <x:v>Purpose</x:v>
      </x:c>
      <x:c r="C1" s="6" t="str">
        <x:v>Tools</x:v>
      </x:c>
      <x:c r="D1" s="6" t="str">
        <x:v>Data Scope</x:v>
      </x:c>
      <x:c r="E1" s="6" t="str">
        <x:v>Guardrails</x:v>
      </x:c>
      <x:c r="F1" s="6" t="str">
        <x:v>Phase</x:v>
      </x:c>
    </x:row>
    <x:row r="2">
      <x:c r="A2" s="13" t="str">
        <x:v>Site Generator</x:v>
      </x:c>
      <x:c r="B2" s="13" t="str">
        <x:v>AI 온보딩 기반 사이트 초안 생성</x:v>
      </x:c>
      <x:c r="C2" s="13" t="str">
        <x:v>template.search, page.create, theme.apply</x:v>
      </x:c>
      <x:c r="D2" s="13" t="str">
        <x:v>온보딩, 템플릿, 브랜드 메모리</x:v>
      </x:c>
      <x:c r="E2" s="13" t="str">
        <x:v>저작권/민감표현 필터, 승인 후 저장</x:v>
      </x:c>
      <x:c r="F2" s="13" t="str">
        <x:v>MVP</x:v>
      </x:c>
    </x:row>
    <x:row r="3">
      <x:c r="A3" s="13" t="str">
        <x:v>Design Agent</x:v>
      </x:c>
      <x:c r="B3" s="13" t="str">
        <x:v>페이지 디자인 수정/일관성 개선</x:v>
      </x:c>
      <x:c r="C3" s="13" t="str">
        <x:v>page.diff, section.update, screenshot.analyze</x:v>
      </x:c>
      <x:c r="D3" s="13" t="str">
        <x:v>현재 페이지 JSON, 테마</x:v>
      </x:c>
      <x:c r="E3" s="13" t="str">
        <x:v>변경 diff, 접근성 검사</x:v>
      </x:c>
      <x:c r="F3" s="13" t="str">
        <x:v>V1</x:v>
      </x:c>
    </x:row>
    <x:row r="4">
      <x:c r="A4" s="13" t="str">
        <x:v>Content Agent</x:v>
      </x:c>
      <x:c r="B4" s="13" t="str">
        <x:v>카피/블로그/FAQ/SEO 생성</x:v>
      </x:c>
      <x:c r="C4" s="13" t="str">
        <x:v>content.generate, seo.check</x:v>
      </x:c>
      <x:c r="D4" s="13" t="str">
        <x:v>브랜드 메모리, 제품 정보</x:v>
      </x:c>
      <x:c r="E4" s="13" t="str">
        <x:v>초안 라벨, 금칙어 검사</x:v>
      </x:c>
      <x:c r="F4" s="13" t="str">
        <x:v>MVP</x:v>
      </x:c>
    </x:row>
    <x:row r="5">
      <x:c r="A5" s="13" t="str">
        <x:v>Commerce Agent</x:v>
      </x:c>
      <x:c r="B5" s="13" t="str">
        <x:v>상품/주문/재고 운영 보조</x:v>
      </x:c>
      <x:c r="C5" s="13" t="str">
        <x:v>product.create, order.read, inventory.check</x:v>
      </x:c>
      <x:c r="D5" s="13" t="str">
        <x:v>권한 내 상품/주문 데이터</x:v>
      </x:c>
      <x:c r="E5" s="13" t="str">
        <x:v>CS/운영 권한 적용, 감사 로그</x:v>
      </x:c>
      <x:c r="F5" s="13" t="str">
        <x:v>V1.5</x:v>
      </x:c>
    </x:row>
    <x:row r="6">
      <x:c r="A6" s="13" t="str">
        <x:v>CRM Agent</x:v>
      </x:c>
      <x:c r="B6" s="13" t="str">
        <x:v>세그먼트와 메시지 자동화 제안</x:v>
      </x:c>
      <x:c r="C6" s="13" t="str">
        <x:v>segment.create, campaign.draft</x:v>
      </x:c>
      <x:c r="D6" s="13" t="str">
        <x:v>고객 이벤트, 동의 상태</x:v>
      </x:c>
      <x:c r="E6" s="13" t="str">
        <x:v>수신 동의 준수, 개인정보 최소화</x:v>
      </x:c>
      <x:c r="F6" s="13" t="str">
        <x:v>V1.5</x:v>
      </x:c>
    </x:row>
    <x:row r="7">
      <x:c r="A7" s="13" t="str">
        <x:v>Analytics Agent</x:v>
      </x:c>
      <x:c r="B7" s="13" t="str">
        <x:v>성과 요약과 실험 제안</x:v>
      </x:c>
      <x:c r="C7" s="13" t="str">
        <x:v>analytics.query, report.create</x:v>
      </x:c>
      <x:c r="D7" s="13" t="str">
        <x:v>방문/매출/캠페인 집계</x:v>
      </x:c>
      <x:c r="E7" s="13" t="str">
        <x:v>집계 데이터 우선, 원문 개인정보 제한</x:v>
      </x:c>
      <x:c r="F7" s="13" t="str">
        <x:v>V1.5</x:v>
      </x:c>
    </x:row>
    <x:row r="8">
      <x:c r="A8" s="13" t="str">
        <x:v>Support Agent</x:v>
      </x:c>
      <x:c r="B8" s="13" t="str">
        <x:v>관리자 도움말/고객 응대 초안</x:v>
      </x:c>
      <x:c r="C8" s="13" t="str">
        <x:v>kb.search, order.read</x:v>
      </x:c>
      <x:c r="D8" s="13" t="str">
        <x:v>도움말, 권한 내 주문/문의</x:v>
      </x:c>
      <x:c r="E8" s="13" t="str">
        <x:v>답변 초안, 민감정보 마스킹</x:v>
      </x:c>
      <x:c r="F8" s="13" t="str">
        <x:v>V1</x:v>
      </x:c>
    </x:row>
    <x:row r="9">
      <x:c r="A9" s="13" t="str">
        <x:v>Code Agent</x:v>
      </x:c>
      <x:c r="B9" s="13" t="str">
        <x:v>제한된 코드 위젯 생성</x:v>
      </x:c>
      <x:c r="C9" s="13" t="str">
        <x:v>sandbox.run, code.lint</x:v>
      </x:c>
      <x:c r="D9" s="13" t="str">
        <x:v>컴포넌트 API, 샌드박스</x:v>
      </x:c>
      <x:c r="E9" s="13" t="str">
        <x:v>CSP, SSRF/XSS 차단, 사용자 승인</x:v>
      </x:c>
      <x:c r="F9" s="13" t="str">
        <x:v>V2</x:v>
      </x:c>
    </x:row>
  </x:sheetData>
  <x:pageMargins left="0.7" right="0.7" top="0.75" bottom="0.75" header="0.3" footer="0.3"/>
  <x:tableParts count="1">
    <x:tablePart xmlns:r="http://schemas.openxmlformats.org/officeDocument/2006/relationships" r:id="R730d88c31b8f4b0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32" hidden="0" customWidth="1"/>
    <x:col min="5" max="5" width="44" hidden="0" customWidth="1"/>
    <x:col min="6" max="6" width="14" hidden="0" customWidth="1"/>
    <x:col min="7" max="7" width="14" hidden="0" customWidth="1"/>
  </x:cols>
  <x:sheetData>
    <x:row r="1">
      <x:c r="A1" s="6" t="str">
        <x:v>ID</x:v>
      </x:c>
      <x:c r="B1" s="6" t="str">
        <x:v>Risk</x:v>
      </x:c>
      <x:c r="C1" s="6" t="str">
        <x:v>Severity</x:v>
      </x:c>
      <x:c r="D1" s="6" t="str">
        <x:v>Impact</x:v>
      </x:c>
      <x:c r="E1" s="6" t="str">
        <x:v>Mitigation</x:v>
      </x:c>
      <x:c r="F1" s="6" t="str">
        <x:v>Owner</x:v>
      </x:c>
      <x:c r="G1" s="6" t="str">
        <x:v>Status</x:v>
      </x:c>
    </x:row>
    <x:row r="2">
      <x:c r="A2" s="13" t="str">
        <x:v>RISK-001</x:v>
      </x:c>
      <x:c r="B2" s="13" t="str">
        <x:v>AI 결과 품질 편차</x:v>
      </x:c>
      <x:c r="C2" s="13" t="str">
        <x:v>High</x:v>
      </x:c>
      <x:c r="D2" s="13" t="str">
        <x:v>생성 결과가 낮으면 신뢰 하락</x:v>
      </x:c>
      <x:c r="E2" s="13" t="str">
        <x:v>템플릿 기반 생성, 평가셋, 휴먼 승인, 피드백 루프</x:v>
      </x:c>
      <x:c r="F2" s="13" t="str">
        <x:v>AI</x:v>
      </x:c>
      <x:c r="G2" s="13" t="str">
        <x:v>Open</x:v>
      </x:c>
    </x:row>
    <x:row r="3">
      <x:c r="A3" s="13" t="str">
        <x:v>RISK-002</x:v>
      </x:c>
      <x:c r="B3" s="13" t="str">
        <x:v>편집기 성능 저하</x:v>
      </x:c>
      <x:c r="C3" s="13" t="str">
        <x:v>High</x:v>
      </x:c>
      <x:c r="D3" s="13" t="str">
        <x:v>대형 페이지 편집이 느려짐</x:v>
      </x:c>
      <x:c r="E3" s="13" t="str">
        <x:v>캔버스 가상화, 섹션 lazy render, 성능 예산</x:v>
      </x:c>
      <x:c r="F3" s="13" t="str">
        <x:v>Frontend</x:v>
      </x:c>
      <x:c r="G3" s="13" t="str">
        <x:v>Open</x:v>
      </x:c>
    </x:row>
    <x:row r="4">
      <x:c r="A4" s="13" t="str">
        <x:v>RISK-003</x:v>
      </x:c>
      <x:c r="B4" s="13" t="str">
        <x:v>테넌트 데이터 누출</x:v>
      </x:c>
      <x:c r="C4" s="13" t="str">
        <x:v>Critical</x:v>
      </x:c>
      <x:c r="D4" s="13" t="str">
        <x:v>법적/신뢰 리스크</x:v>
      </x:c>
      <x:c r="E4" s="13" t="str">
        <x:v>RLS, 권한 테스트, 감사 로그, 보안 리뷰</x:v>
      </x:c>
      <x:c r="F4" s="13" t="str">
        <x:v>Security</x:v>
      </x:c>
      <x:c r="G4" s="13" t="str">
        <x:v>Open</x:v>
      </x:c>
    </x:row>
    <x:row r="5">
      <x:c r="A5" s="13" t="str">
        <x:v>RISK-004</x:v>
      </x:c>
      <x:c r="B5" s="13" t="str">
        <x:v>PG/환불/정산 복잡성</x:v>
      </x:c>
      <x:c r="C5" s="13" t="str">
        <x:v>High</x:v>
      </x:c>
      <x:c r="D5" s="13" t="str">
        <x:v>상용 쇼핑몰 운영 실패</x:v>
      </x:c>
      <x:c r="E5" s="13" t="str">
        <x:v>상태 머신, 원장, PG adapter, sandbox 테스트</x:v>
      </x:c>
      <x:c r="F5" s="13" t="str">
        <x:v>Backend</x:v>
      </x:c>
      <x:c r="G5" s="13" t="str">
        <x:v>Open</x:v>
      </x:c>
    </x:row>
    <x:row r="6">
      <x:c r="A6" s="13" t="str">
        <x:v>RISK-005</x:v>
      </x:c>
      <x:c r="B6" s="13" t="str">
        <x:v>경쟁사 UI/IP 침해</x:v>
      </x:c>
      <x:c r="C6" s="13" t="str">
        <x:v>Medium</x:v>
      </x:c>
      <x:c r="D6" s="13" t="str">
        <x:v>분쟁 가능성</x:v>
      </x:c>
      <x:c r="E6" s="13" t="str">
        <x:v>독자 UX, 문구/화면/템플릿 자체 제작</x:v>
      </x:c>
      <x:c r="F6" s="13" t="str">
        <x:v>Product</x:v>
      </x:c>
      <x:c r="G6" s="13" t="str">
        <x:v>Open</x:v>
      </x:c>
    </x:row>
    <x:row r="7">
      <x:c r="A7" s="13" t="str">
        <x:v>RISK-006</x:v>
      </x:c>
      <x:c r="B7" s="13" t="str">
        <x:v>AI 비용 폭증</x:v>
      </x:c>
      <x:c r="C7" s="13" t="str">
        <x:v>High</x:v>
      </x:c>
      <x:c r="D7" s="13" t="str">
        <x:v>SaaS 마진 훼손</x:v>
      </x:c>
      <x:c r="E7" s="13" t="str">
        <x:v>크레딧, 캐시, 모델 라우팅, 비용 알림</x:v>
      </x:c>
      <x:c r="F7" s="13" t="str">
        <x:v>AI</x:v>
      </x:c>
      <x:c r="G7" s="13" t="str">
        <x:v>Open</x:v>
      </x:c>
    </x:row>
    <x:row r="8">
      <x:c r="A8" s="13" t="str">
        <x:v>RISK-007</x:v>
      </x:c>
      <x:c r="B8" s="13" t="str">
        <x:v>개인정보/AI 학습 이슈</x:v>
      </x:c>
      <x:c r="C8" s="13" t="str">
        <x:v>High</x:v>
      </x:c>
      <x:c r="D8" s="13" t="str">
        <x:v>규제/고객 불신</x:v>
      </x:c>
      <x:c r="E8" s="13" t="str">
        <x:v>기본 비학습, 동의/거부, 보존기간, 마스킹</x:v>
      </x:c>
      <x:c r="F8" s="13" t="str">
        <x:v>Security</x:v>
      </x:c>
      <x:c r="G8" s="13" t="str">
        <x:v>Open</x:v>
      </x:c>
    </x:row>
  </x:sheetData>
  <x:conditionalFormatting sqref="C2:C8">
    <x:cfRule type="expression" dxfId="1" priority="1">
      <x:formula>OR(C2="Critical",C2="High")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991d571b6e4fe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22" hidden="0" customWidth="1"/>
    <x:col min="4" max="4" width="18" hidden="0" customWidth="1"/>
    <x:col min="5" max="5" width="14" hidden="0" customWidth="1"/>
  </x:cols>
  <x:sheetData>
    <x:row r="1">
      <x:c r="A1" s="6" t="str">
        <x:v>Metric</x:v>
      </x:c>
      <x:c r="B1" s="6" t="str">
        <x:v>Definition</x:v>
      </x:c>
      <x:c r="C1" s="6" t="str">
        <x:v>Target</x:v>
      </x:c>
      <x:c r="D1" s="6" t="str">
        <x:v>Owner</x:v>
      </x:c>
      <x:c r="E1" s="6" t="str">
        <x:v>Cadence</x:v>
      </x:c>
    </x:row>
    <x:row r="2">
      <x:c r="A2" s="13" t="str">
        <x:v>Monthly Published Active Sites</x:v>
      </x:c>
      <x:c r="B2" s="13" t="str">
        <x:v>월간 게시 활성 사이트 수</x:v>
      </x:c>
      <x:c r="C2" s="13" t="str">
        <x:v>North Star</x:v>
      </x:c>
      <x:c r="D2" s="13" t="str">
        <x:v>Product</x:v>
      </x:c>
      <x:c r="E2" s="13" t="str">
        <x:v>Monthly</x:v>
      </x:c>
    </x:row>
    <x:row r="3">
      <x:c r="A3" s="13" t="str">
        <x:v>Activation Rate</x:v>
      </x:c>
      <x:c r="B3" s="13" t="str">
        <x:v>가입 후 24시간 내 AI 초안 생성+첫 게시 비율</x:v>
      </x:c>
      <x:c r="C3" s="13" t="str">
        <x:v>&gt;35% beta, &gt;50% GA</x:v>
      </x:c>
      <x:c r="D3" s="13" t="str">
        <x:v>Product</x:v>
      </x:c>
      <x:c r="E3" s="13" t="str">
        <x:v>Weekly</x:v>
      </x:c>
    </x:row>
    <x:row r="4">
      <x:c r="A4" s="13" t="str">
        <x:v>Time to Publish</x:v>
      </x:c>
      <x:c r="B4" s="13" t="str">
        <x:v>가입부터 첫 게시까지 중앙값</x:v>
      </x:c>
      <x:c r="C4" s="13" t="str">
        <x:v>&lt; 1 day</x:v>
      </x:c>
      <x:c r="D4" s="13" t="str">
        <x:v>Product</x:v>
      </x:c>
      <x:c r="E4" s="13" t="str">
        <x:v>Weekly</x:v>
      </x:c>
    </x:row>
    <x:row r="5">
      <x:c r="A5" s="13" t="str">
        <x:v>AI Acceptance Rate</x:v>
      </x:c>
      <x:c r="B5" s="13" t="str">
        <x:v>AI 제안이 적용/게시된 비율</x:v>
      </x:c>
      <x:c r="C5" s="13" t="str">
        <x:v>&gt;45%</x:v>
      </x:c>
      <x:c r="D5" s="13" t="str">
        <x:v>AI</x:v>
      </x:c>
      <x:c r="E5" s="13" t="str">
        <x:v>Weekly</x:v>
      </x:c>
    </x:row>
    <x:row r="6">
      <x:c r="A6" s="13" t="str">
        <x:v>AI Cost Ratio</x:v>
      </x:c>
      <x:c r="B6" s="13" t="str">
        <x:v>AI 비용 / 구독 매출</x:v>
      </x:c>
      <x:c r="C6" s="13" t="str">
        <x:v>&lt;10%</x:v>
      </x:c>
      <x:c r="D6" s="13" t="str">
        <x:v>AI</x:v>
      </x:c>
      <x:c r="E6" s="13" t="str">
        <x:v>Monthly</x:v>
      </x:c>
    </x:row>
    <x:row r="7">
      <x:c r="A7" s="13" t="str">
        <x:v>Commerce GMV</x:v>
      </x:c>
      <x:c r="B7" s="13" t="str">
        <x:v>WEBABLE 쇼핑몰 거래액</x:v>
      </x:c>
      <x:c r="C7" s="13" t="str">
        <x:v>성장률 추적</x:v>
      </x:c>
      <x:c r="D7" s="13" t="str">
        <x:v>Commerce</x:v>
      </x:c>
      <x:c r="E7" s="13" t="str">
        <x:v>Monthly</x:v>
      </x:c>
    </x:row>
    <x:row r="8">
      <x:c r="A8" s="13" t="str">
        <x:v>Order Processing Time</x:v>
      </x:c>
      <x:c r="B8" s="13" t="str">
        <x:v>주문 처리 평균 시간</x:v>
      </x:c>
      <x:c r="C8" s="13" t="str">
        <x:v>감소</x:v>
      </x:c>
      <x:c r="D8" s="13" t="str">
        <x:v>Commerce</x:v>
      </x:c>
      <x:c r="E8" s="13" t="str">
        <x:v>Weekly</x:v>
      </x:c>
    </x:row>
    <x:row r="9">
      <x:c r="A9" s="13" t="str">
        <x:v>LCP Public Sites</x:v>
      </x:c>
      <x:c r="B9" s="13" t="str">
        <x:v>공개 사이트 LCP p75</x:v>
      </x:c>
      <x:c r="C9" s="13" t="str">
        <x:v>&lt;2.5s</x:v>
      </x:c>
      <x:c r="D9" s="13" t="str">
        <x:v>Frontend</x:v>
      </x:c>
      <x:c r="E9" s="13" t="str">
        <x:v>Weekly</x:v>
      </x:c>
    </x:row>
    <x:row r="10">
      <x:c r="A10" s="13" t="str">
        <x:v>API p95 Latency</x:v>
      </x:c>
      <x:c r="B10" s="13" t="str">
        <x:v>관리자 API p95</x:v>
      </x:c>
      <x:c r="C10" s="13" t="str">
        <x:v>&lt;1s core APIs</x:v>
      </x:c>
      <x:c r="D10" s="13" t="str">
        <x:v>Backend</x:v>
      </x:c>
      <x:c r="E10" s="13" t="str">
        <x:v>Weekly</x:v>
      </x:c>
    </x:row>
    <x:row r="11">
      <x:c r="A11" s="13" t="str">
        <x:v>Churn</x:v>
      </x:c>
      <x:c r="B11" s="13" t="str">
        <x:v>월간 유료 이탈률</x:v>
      </x:c>
      <x:c r="C11" s="13" t="str">
        <x:v>&lt;3% long-term</x:v>
      </x:c>
      <x:c r="D11" s="13" t="str">
        <x:v>Product</x:v>
      </x:c>
      <x:c r="E11" s="13" t="str">
        <x:v>Monthly</x:v>
      </x:c>
    </x:row>
  </x:sheetData>
  <x:pageMargins left="0.7" right="0.7" top="0.75" bottom="0.75" header="0.3" footer="0.3"/>
  <x:tableParts count="1">
    <x:tablePart xmlns:r="http://schemas.openxmlformats.org/officeDocument/2006/relationships" r:id="Ra47850b664074a9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2" hidden="0" customWidth="1"/>
    <x:col min="4" max="4" width="18" hidden="0" customWidth="1"/>
    <x:col min="5" max="5" width="46" hidden="0" customWidth="1"/>
  </x:cols>
  <x:sheetData>
    <x:row r="1">
      <x:c r="A1" s="6" t="str">
        <x:v>Category</x:v>
      </x:c>
      <x:c r="B1" s="6" t="str">
        <x:v>Integration</x:v>
      </x:c>
      <x:c r="C1" s="6" t="str">
        <x:v>Phase</x:v>
      </x:c>
      <x:c r="D1" s="6" t="str">
        <x:v>Direction</x:v>
      </x:c>
      <x:c r="E1" s="6" t="str">
        <x:v>Notes</x:v>
      </x:c>
    </x:row>
    <x:row r="2">
      <x:c r="A2" s="13" t="str">
        <x:v>Payment</x:v>
      </x:c>
      <x:c r="B2" s="13" t="str">
        <x:v>국내 PG Adapter</x:v>
      </x:c>
      <x:c r="C2" s="13" t="str">
        <x:v>V1</x:v>
      </x:c>
      <x:c r="D2" s="13" t="str">
        <x:v>Inbound/Outbound</x:v>
      </x:c>
      <x:c r="E2" s="13" t="str">
        <x:v>승인/취소/환불/웹훅</x:v>
      </x:c>
    </x:row>
    <x:row r="3">
      <x:c r="A3" s="13" t="str">
        <x:v>Payment</x:v>
      </x:c>
      <x:c r="B3" s="13" t="str">
        <x:v>간편결제 Adapter</x:v>
      </x:c>
      <x:c r="C3" s="13" t="str">
        <x:v>V1</x:v>
      </x:c>
      <x:c r="D3" s="13" t="str">
        <x:v>Outbound</x:v>
      </x:c>
      <x:c r="E3" s="13" t="str">
        <x:v>네이버페이/카카오페이/토스페이 등은 우선순위 별도 확정</x:v>
      </x:c>
    </x:row>
    <x:row r="4">
      <x:c r="A4" s="13" t="str">
        <x:v>Delivery</x:v>
      </x:c>
      <x:c r="B4" s="13" t="str">
        <x:v>택배 송장/추적</x:v>
      </x:c>
      <x:c r="C4" s="13" t="str">
        <x:v>V1</x:v>
      </x:c>
      <x:c r="D4" s="13" t="str">
        <x:v>Outbound</x:v>
      </x:c>
      <x:c r="E4" s="13" t="str">
        <x:v>송장 등록, 배송상태 조회</x:v>
      </x:c>
    </x:row>
    <x:row r="5">
      <x:c r="A5" s="13" t="str">
        <x:v>Messaging</x:v>
      </x:c>
      <x:c r="B5" s="13" t="str">
        <x:v>SMS/알림톡</x:v>
      </x:c>
      <x:c r="C5" s="13" t="str">
        <x:v>V1</x:v>
      </x:c>
      <x:c r="D5" s="13" t="str">
        <x:v>Outbound</x:v>
      </x:c>
      <x:c r="E5" s="13" t="str">
        <x:v>정보성/마케팅 동의 구분</x:v>
      </x:c>
    </x:row>
    <x:row r="6">
      <x:c r="A6" s="13" t="str">
        <x:v>Email</x:v>
      </x:c>
      <x:c r="B6" s="13" t="str">
        <x:v>Transactional Email</x:v>
      </x:c>
      <x:c r="C6" s="13" t="str">
        <x:v>MVP</x:v>
      </x:c>
      <x:c r="D6" s="13" t="str">
        <x:v>Outbound</x:v>
      </x:c>
      <x:c r="E6" s="13" t="str">
        <x:v>가입/주문/폼/초대 알림</x:v>
      </x:c>
    </x:row>
    <x:row r="7">
      <x:c r="A7" s="13" t="str">
        <x:v>Analytics</x:v>
      </x:c>
      <x:c r="B7" s="13" t="str">
        <x:v>GA4/Meta/Naver/Kakao Pixels</x:v>
      </x:c>
      <x:c r="C7" s="13" t="str">
        <x:v>V1.5</x:v>
      </x:c>
      <x:c r="D7" s="13" t="str">
        <x:v>Script</x:v>
      </x:c>
      <x:c r="E7" s="13" t="str">
        <x:v>사이트 설정 기반 삽입</x:v>
      </x:c>
    </x:row>
    <x:row r="8">
      <x:c r="A8" s="13" t="str">
        <x:v>Storage</x:v>
      </x:c>
      <x:c r="B8" s="13" t="str">
        <x:v>Object Storage/CDN</x:v>
      </x:c>
      <x:c r="C8" s="13" t="str">
        <x:v>MVP</x:v>
      </x:c>
      <x:c r="D8" s="13" t="str">
        <x:v>Internal</x:v>
      </x:c>
      <x:c r="E8" s="13" t="str">
        <x:v>이미지/첨부/정적 사이트 파일</x:v>
      </x:c>
    </x:row>
    <x:row r="9">
      <x:c r="A9" s="13" t="str">
        <x:v>AI</x:v>
      </x:c>
      <x:c r="B9" s="13" t="str">
        <x:v>LLM Provider Gateway</x:v>
      </x:c>
      <x:c r="C9" s="13" t="str">
        <x:v>MVP</x:v>
      </x:c>
      <x:c r="D9" s="13" t="str">
        <x:v>Outbound</x:v>
      </x:c>
      <x:c r="E9" s="13" t="str">
        <x:v>모델 교체 가능 라우팅</x:v>
      </x:c>
    </x:row>
    <x:row r="10">
      <x:c r="A10" s="13" t="str">
        <x:v>AI</x:v>
      </x:c>
      <x:c r="B10" s="13" t="str">
        <x:v>Image Generation Provider</x:v>
      </x:c>
      <x:c r="C10" s="13" t="str">
        <x:v>V1</x:v>
      </x:c>
      <x:c r="D10" s="13" t="str">
        <x:v>Outbound</x:v>
      </x:c>
      <x:c r="E10" s="13" t="str">
        <x:v>상품/배너 이미지 생성은 정책 검토 후</x:v>
      </x:c>
    </x:row>
    <x:row r="11">
      <x:c r="A11" s="13" t="str">
        <x:v>Search</x:v>
      </x:c>
      <x:c r="B11" s="13" t="str">
        <x:v>OpenSearch/Meilisearch</x:v>
      </x:c>
      <x:c r="C11" s="13" t="str">
        <x:v>V1.5</x:v>
      </x:c>
      <x:c r="D11" s="13" t="str">
        <x:v>Internal</x:v>
      </x:c>
      <x:c r="E11" s="13" t="str">
        <x:v>사이트/관리자 검색</x:v>
      </x:c>
    </x:row>
    <x:row r="12">
      <x:c r="A12" s="13" t="str">
        <x:v>Webhook</x:v>
      </x:c>
      <x:c r="B12" s="13" t="str">
        <x:v>App Webhook</x:v>
      </x:c>
      <x:c r="C12" s="13" t="str">
        <x:v>V1.5</x:v>
      </x:c>
      <x:c r="D12" s="13" t="str">
        <x:v>Outbound</x:v>
      </x:c>
      <x:c r="E12" s="13" t="str">
        <x:v>서명/재시도/DLQ</x:v>
      </x:c>
    </x:row>
    <x:row r="13">
      <x:c r="A13" s="13" t="str">
        <x:v>Accounting</x:v>
      </x:c>
      <x:c r="B13" s="13" t="str">
        <x:v>세무/회계 Export</x:v>
      </x:c>
      <x:c r="C13" s="13" t="str">
        <x:v>V2</x:v>
      </x:c>
      <x:c r="D13" s="13" t="str">
        <x:v>Export</x:v>
      </x:c>
      <x:c r="E13" s="13" t="str">
        <x:v>주문/정산 CSV 또는 API</x:v>
      </x:c>
    </x:row>
  </x:sheetData>
  <x:pageMargins left="0.7" right="0.7" top="0.75" bottom="0.75" header="0.3" footer="0.3"/>
  <x:tableParts count="1">
    <x:tablePart xmlns:r="http://schemas.openxmlformats.org/officeDocument/2006/relationships" r:id="Rd91f424f832f4935"/>
  </x:tableParts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6" t="str">
        <x:v>Priority</x:v>
      </x:c>
      <x:c r="B1" s="6" t="str">
        <x:v>Phase</x:v>
      </x:c>
      <x:c r="C1" s="6" t="str">
        <x:v>Status</x:v>
      </x:c>
      <x:c r="D1" s="6" t="str">
        <x:v>Owner</x:v>
      </x:c>
    </x:row>
    <x:row r="2">
      <x:c r="A2" t="str">
        <x:v>P0</x:v>
      </x:c>
      <x:c r="B2" t="str">
        <x:v>MVP</x:v>
      </x:c>
      <x:c r="C2" t="str">
        <x:v>Not Started</x:v>
      </x:c>
      <x:c r="D2" t="str">
        <x:v>Product</x:v>
      </x:c>
    </x:row>
    <x:row r="3">
      <x:c r="A3" t="str">
        <x:v>P1</x:v>
      </x:c>
      <x:c r="B3" t="str">
        <x:v>V1</x:v>
      </x:c>
      <x:c r="C3" t="str">
        <x:v>In Progress</x:v>
      </x:c>
      <x:c r="D3" t="str">
        <x:v>Frontend</x:v>
      </x:c>
    </x:row>
    <x:row r="4">
      <x:c r="A4" t="str">
        <x:v>P2</x:v>
      </x:c>
      <x:c r="B4" t="str">
        <x:v>V1.5</x:v>
      </x:c>
      <x:c r="C4" t="str">
        <x:v>Blocked</x:v>
      </x:c>
      <x:c r="D4" t="str">
        <x:v>Backend</x:v>
      </x:c>
    </x:row>
    <x:row r="5">
      <x:c r="A5" t="str">
        <x:v>P3</x:v>
      </x:c>
      <x:c r="B5" t="str">
        <x:v>V2</x:v>
      </x:c>
      <x:c r="C5" t="str">
        <x:v>Done</x:v>
      </x:c>
      <x:c r="D5" t="str">
        <x:v>AI</x:v>
      </x:c>
    </x:row>
    <x:row r="6">
      <x:c r="A6" t="str"/>
      <x:c r="B6" t="str">
        <x:v>V3</x:v>
      </x:c>
      <x:c r="C6" t="str">
        <x:v>Deferred</x:v>
      </x:c>
      <x:c r="D6" t="str">
        <x:v>DevOps</x:v>
      </x:c>
    </x:row>
    <x:row r="7">
      <x:c r="A7" t="str"/>
      <x:c r="B7" t="str"/>
      <x:c r="C7" t="str"/>
      <x:c r="D7" t="str">
        <x:v>Security</x:v>
      </x:c>
    </x:row>
    <x:row r="8">
      <x:c r="A8" t="str"/>
      <x:c r="B8" t="str"/>
      <x:c r="C8" t="str"/>
      <x:c r="D8" t="str">
        <x:v>QA</x:v>
      </x:c>
    </x:row>
    <x:row r="9">
      <x:c r="A9" t="str"/>
      <x:c r="B9" t="str"/>
      <x:c r="C9" t="str"/>
      <x:c r="D9" t="str">
        <x:v>Design</x:v>
      </x:c>
    </x:row>
    <x:row r="10">
      <x:c r="A10" t="str"/>
      <x:c r="B10" t="str"/>
      <x:c r="C10" t="str"/>
      <x:c r="D10" t="str">
        <x:v>Data</x:v>
      </x:c>
    </x:row>
  </x:sheetData>
  <x:pageMargins left="0.7" right="0.7" top="0.75" bottom="0.75" header="0.3" footer="0.3"/>
</x:worksheet>
</file>